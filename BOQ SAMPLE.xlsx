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amec\OneDrive\Desktop\BARAKA AND JULIA\"/>
    </mc:Choice>
  </mc:AlternateContent>
  <xr:revisionPtr revIDLastSave="0" documentId="13_ncr:1_{0528CB10-DFDC-4030-86EE-917C3387BBA4}" xr6:coauthVersionLast="36" xr6:coauthVersionMax="47" xr10:uidLastSave="{00000000-0000-0000-0000-000000000000}"/>
  <bookViews>
    <workbookView xWindow="0" yWindow="0" windowWidth="17244" windowHeight="2544" xr2:uid="{00000000-000D-0000-FFFF-FFFF00000000}"/>
  </bookViews>
  <sheets>
    <sheet name="RESIDENTIAL BUILDING" sheetId="14" r:id="rId1"/>
  </sheets>
  <definedNames>
    <definedName name="_xlnm.Print_Area" localSheetId="0">'RESIDENTIAL BUILDING'!$A$1:$H$673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46" i="14" l="1"/>
  <c r="H646" i="14" s="1"/>
  <c r="H647" i="14"/>
  <c r="H648" i="14" l="1"/>
  <c r="H549" i="14" l="1"/>
  <c r="G535" i="14"/>
  <c r="H535" i="14" s="1"/>
  <c r="G534" i="14"/>
  <c r="H534" i="14" s="1"/>
  <c r="G533" i="14"/>
  <c r="H533" i="14" s="1"/>
  <c r="H536" i="14"/>
  <c r="G528" i="14"/>
  <c r="H528" i="14" s="1"/>
  <c r="G527" i="14"/>
  <c r="H527" i="14" s="1"/>
  <c r="G526" i="14"/>
  <c r="H526" i="14" s="1"/>
  <c r="G525" i="14"/>
  <c r="H525" i="14" s="1"/>
  <c r="G524" i="14"/>
  <c r="H524" i="14" s="1"/>
  <c r="G523" i="14"/>
  <c r="G522" i="14"/>
  <c r="G521" i="14"/>
  <c r="G520" i="14"/>
  <c r="H403" i="14"/>
  <c r="G384" i="14"/>
  <c r="H384" i="14" s="1"/>
  <c r="G383" i="14"/>
  <c r="G382" i="14"/>
  <c r="G377" i="14"/>
  <c r="H377" i="14" s="1"/>
  <c r="G376" i="14"/>
  <c r="H376" i="14" s="1"/>
  <c r="G375" i="14"/>
  <c r="G374" i="14"/>
  <c r="G373" i="14"/>
  <c r="G372" i="14"/>
  <c r="G371" i="14"/>
  <c r="G370" i="14"/>
  <c r="H243" i="14"/>
  <c r="H242" i="14"/>
  <c r="H241" i="14"/>
  <c r="H240" i="14"/>
  <c r="H239" i="14"/>
  <c r="H238" i="14"/>
  <c r="H237" i="14"/>
  <c r="H236" i="14"/>
  <c r="H235" i="14"/>
  <c r="H234" i="14"/>
  <c r="H537" i="14" l="1"/>
  <c r="H245" i="14"/>
  <c r="F145" i="14" l="1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17" i="14" s="1"/>
  <c r="F59" i="14"/>
  <c r="H51" i="14"/>
  <c r="H419" i="14" l="1"/>
  <c r="F664" i="14"/>
  <c r="H664" i="14" s="1"/>
  <c r="H663" i="14"/>
  <c r="H660" i="14"/>
  <c r="H658" i="14"/>
  <c r="H655" i="14"/>
  <c r="H654" i="14"/>
  <c r="H653" i="14"/>
  <c r="H652" i="14"/>
  <c r="H651" i="14"/>
  <c r="H641" i="14"/>
  <c r="H640" i="14"/>
  <c r="H639" i="14"/>
  <c r="H638" i="14"/>
  <c r="H637" i="14"/>
  <c r="H634" i="14"/>
  <c r="H633" i="14"/>
  <c r="H632" i="14"/>
  <c r="H631" i="14"/>
  <c r="H630" i="14"/>
  <c r="H629" i="14"/>
  <c r="H628" i="14"/>
  <c r="H627" i="14"/>
  <c r="H626" i="14"/>
  <c r="F621" i="14"/>
  <c r="H621" i="14" s="1"/>
  <c r="H620" i="14"/>
  <c r="H619" i="14"/>
  <c r="H622" i="14" s="1"/>
  <c r="H614" i="14"/>
  <c r="H613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0" i="14"/>
  <c r="H589" i="14"/>
  <c r="H588" i="14"/>
  <c r="H587" i="14"/>
  <c r="H586" i="14"/>
  <c r="H585" i="14"/>
  <c r="H584" i="14"/>
  <c r="H583" i="14"/>
  <c r="H581" i="14"/>
  <c r="H580" i="14"/>
  <c r="H579" i="14"/>
  <c r="H573" i="14"/>
  <c r="H572" i="14"/>
  <c r="H571" i="14"/>
  <c r="H570" i="14"/>
  <c r="H562" i="14"/>
  <c r="H561" i="14"/>
  <c r="H560" i="14"/>
  <c r="H375" i="14"/>
  <c r="H401" i="14"/>
  <c r="H374" i="14"/>
  <c r="H230" i="14"/>
  <c r="F229" i="14"/>
  <c r="H229" i="14" s="1"/>
  <c r="H228" i="14"/>
  <c r="H227" i="14"/>
  <c r="H231" i="14" s="1"/>
  <c r="H222" i="14"/>
  <c r="H221" i="14"/>
  <c r="H220" i="14"/>
  <c r="H219" i="14"/>
  <c r="H218" i="14"/>
  <c r="H217" i="14"/>
  <c r="H216" i="14"/>
  <c r="H215" i="14"/>
  <c r="H214" i="14"/>
  <c r="H213" i="14"/>
  <c r="H212" i="14"/>
  <c r="F208" i="14"/>
  <c r="H208" i="14" s="1"/>
  <c r="H207" i="14"/>
  <c r="H206" i="14"/>
  <c r="H205" i="14"/>
  <c r="F204" i="14"/>
  <c r="H204" i="14" s="1"/>
  <c r="H203" i="14"/>
  <c r="H202" i="14"/>
  <c r="H201" i="14"/>
  <c r="H200" i="14"/>
  <c r="H199" i="14"/>
  <c r="F195" i="14"/>
  <c r="H195" i="14" s="1"/>
  <c r="H194" i="14"/>
  <c r="H193" i="14"/>
  <c r="H192" i="14"/>
  <c r="H143" i="14"/>
  <c r="F21" i="14"/>
  <c r="H21" i="14" s="1"/>
  <c r="H20" i="14"/>
  <c r="H22" i="14" l="1"/>
  <c r="H575" i="14"/>
  <c r="H656" i="14"/>
  <c r="H643" i="14"/>
  <c r="H224" i="14"/>
  <c r="H592" i="14"/>
  <c r="H610" i="14"/>
  <c r="H209" i="14"/>
  <c r="H196" i="14"/>
  <c r="H565" i="14"/>
  <c r="H616" i="14"/>
  <c r="H665" i="14"/>
  <c r="H268" i="14"/>
  <c r="H667" i="14" l="1"/>
  <c r="H247" i="14"/>
  <c r="H385" i="14"/>
  <c r="H383" i="14"/>
  <c r="H382" i="14"/>
  <c r="H386" i="14" s="1"/>
  <c r="H378" i="14"/>
  <c r="H373" i="14"/>
  <c r="H372" i="14"/>
  <c r="H371" i="14"/>
  <c r="H370" i="14"/>
  <c r="H423" i="14"/>
  <c r="H421" i="14"/>
  <c r="H547" i="14"/>
  <c r="H529" i="14"/>
  <c r="H523" i="14"/>
  <c r="H522" i="14"/>
  <c r="H521" i="14"/>
  <c r="H520" i="14"/>
  <c r="H540" i="14"/>
  <c r="H515" i="14"/>
  <c r="H514" i="14"/>
  <c r="H513" i="14"/>
  <c r="H512" i="14"/>
  <c r="H511" i="14"/>
  <c r="H508" i="14"/>
  <c r="H507" i="14"/>
  <c r="H506" i="14"/>
  <c r="H505" i="14"/>
  <c r="H504" i="14"/>
  <c r="H503" i="14"/>
  <c r="H502" i="14"/>
  <c r="H501" i="14"/>
  <c r="H500" i="14"/>
  <c r="F495" i="14"/>
  <c r="H402" i="14"/>
  <c r="H400" i="14"/>
  <c r="H399" i="14"/>
  <c r="H530" i="14" l="1"/>
  <c r="H379" i="14"/>
  <c r="H517" i="14"/>
  <c r="H357" i="14"/>
  <c r="H356" i="14"/>
  <c r="H355" i="14"/>
  <c r="H363" i="14"/>
  <c r="H364" i="14"/>
  <c r="H353" i="14"/>
  <c r="F130" i="14" l="1"/>
  <c r="F133" i="14"/>
  <c r="F92" i="14" l="1"/>
  <c r="F33" i="14"/>
  <c r="F553" i="14" l="1"/>
  <c r="H553" i="14" s="1"/>
  <c r="H552" i="14"/>
  <c r="H544" i="14"/>
  <c r="H543" i="14"/>
  <c r="H542" i="14"/>
  <c r="H541" i="14"/>
  <c r="H545" i="14" s="1"/>
  <c r="H495" i="14"/>
  <c r="H494" i="14"/>
  <c r="H493" i="14"/>
  <c r="H488" i="14"/>
  <c r="H487" i="14"/>
  <c r="H490" i="14" s="1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4" i="14"/>
  <c r="H463" i="14"/>
  <c r="H462" i="14"/>
  <c r="H461" i="14"/>
  <c r="H460" i="14"/>
  <c r="H459" i="14"/>
  <c r="H458" i="14"/>
  <c r="H457" i="14"/>
  <c r="H455" i="14"/>
  <c r="H454" i="14"/>
  <c r="H453" i="14"/>
  <c r="H447" i="14"/>
  <c r="H446" i="14"/>
  <c r="H445" i="14"/>
  <c r="H444" i="14"/>
  <c r="H449" i="14" s="1"/>
  <c r="H436" i="14"/>
  <c r="H435" i="14"/>
  <c r="H434" i="14"/>
  <c r="H439" i="14" s="1"/>
  <c r="H466" i="14" l="1"/>
  <c r="H484" i="14"/>
  <c r="H496" i="14"/>
  <c r="H554" i="14"/>
  <c r="H556" i="14" s="1"/>
  <c r="F90" i="14"/>
  <c r="H89" i="14"/>
  <c r="H87" i="14"/>
  <c r="H86" i="14"/>
  <c r="H30" i="14"/>
  <c r="H319" i="14"/>
  <c r="H318" i="14"/>
  <c r="H321" i="14" s="1"/>
  <c r="H257" i="14"/>
  <c r="H256" i="14"/>
  <c r="H255" i="14"/>
  <c r="H260" i="14" s="1"/>
  <c r="H5" i="14" l="1"/>
  <c r="F29" i="14" l="1"/>
  <c r="F151" i="14"/>
  <c r="H151" i="14" s="1"/>
  <c r="H135" i="14"/>
  <c r="F80" i="14" l="1"/>
  <c r="H78" i="14"/>
  <c r="F55" i="14"/>
  <c r="F77" i="14"/>
  <c r="H265" i="14" l="1"/>
  <c r="H266" i="14"/>
  <c r="H267" i="14"/>
  <c r="H269" i="14"/>
  <c r="H150" i="14"/>
  <c r="H149" i="14"/>
  <c r="H148" i="14"/>
  <c r="H147" i="14"/>
  <c r="H146" i="14"/>
  <c r="H145" i="14"/>
  <c r="H144" i="14"/>
  <c r="H142" i="14"/>
  <c r="H141" i="14"/>
  <c r="H140" i="14"/>
  <c r="F427" i="14"/>
  <c r="H427" i="14" s="1"/>
  <c r="H426" i="14"/>
  <c r="H415" i="14"/>
  <c r="H414" i="14"/>
  <c r="H413" i="14"/>
  <c r="H412" i="14"/>
  <c r="H411" i="14"/>
  <c r="H410" i="14"/>
  <c r="H409" i="14"/>
  <c r="H408" i="14"/>
  <c r="H398" i="14"/>
  <c r="H397" i="14"/>
  <c r="H404" i="14" s="1"/>
  <c r="H393" i="14"/>
  <c r="H392" i="14"/>
  <c r="H391" i="14"/>
  <c r="H390" i="14"/>
  <c r="H389" i="14"/>
  <c r="H394" i="14" s="1"/>
  <c r="H365" i="14"/>
  <c r="H362" i="14"/>
  <c r="H361" i="14"/>
  <c r="H358" i="14"/>
  <c r="H354" i="14"/>
  <c r="H352" i="14"/>
  <c r="H351" i="14"/>
  <c r="H350" i="14"/>
  <c r="F345" i="14"/>
  <c r="H345" i="14" s="1"/>
  <c r="H344" i="14"/>
  <c r="H343" i="14"/>
  <c r="H338" i="14"/>
  <c r="H337" i="14"/>
  <c r="H336" i="14"/>
  <c r="H335" i="14"/>
  <c r="H334" i="14"/>
  <c r="H333" i="14"/>
  <c r="H332" i="14"/>
  <c r="H329" i="14"/>
  <c r="H328" i="14"/>
  <c r="H327" i="14"/>
  <c r="H326" i="14"/>
  <c r="H313" i="14"/>
  <c r="H312" i="14"/>
  <c r="H311" i="14"/>
  <c r="H310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86" i="14"/>
  <c r="H285" i="14"/>
  <c r="H284" i="14"/>
  <c r="H283" i="14"/>
  <c r="H282" i="14"/>
  <c r="H281" i="14"/>
  <c r="H280" i="14"/>
  <c r="H279" i="14"/>
  <c r="H277" i="14"/>
  <c r="H276" i="14"/>
  <c r="H275" i="14"/>
  <c r="H186" i="14"/>
  <c r="F185" i="14"/>
  <c r="H185" i="14" s="1"/>
  <c r="H184" i="14"/>
  <c r="H183" i="14"/>
  <c r="H187" i="14" s="1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36" i="14"/>
  <c r="H134" i="14"/>
  <c r="H133" i="14"/>
  <c r="H132" i="14"/>
  <c r="H131" i="14"/>
  <c r="H130" i="14"/>
  <c r="H129" i="14"/>
  <c r="F125" i="14"/>
  <c r="H125" i="14" s="1"/>
  <c r="H124" i="14"/>
  <c r="H123" i="14"/>
  <c r="H122" i="14"/>
  <c r="H99" i="14"/>
  <c r="F98" i="14"/>
  <c r="H98" i="14" s="1"/>
  <c r="H97" i="14"/>
  <c r="H96" i="14"/>
  <c r="H100" i="14" s="1"/>
  <c r="H92" i="14"/>
  <c r="H91" i="14"/>
  <c r="H90" i="14"/>
  <c r="H88" i="14"/>
  <c r="H85" i="14"/>
  <c r="H84" i="14"/>
  <c r="H80" i="14"/>
  <c r="H79" i="14"/>
  <c r="H77" i="14"/>
  <c r="H76" i="14"/>
  <c r="H75" i="14"/>
  <c r="F74" i="14"/>
  <c r="H74" i="14" s="1"/>
  <c r="H73" i="14"/>
  <c r="F68" i="14"/>
  <c r="H68" i="14" s="1"/>
  <c r="H67" i="14"/>
  <c r="H66" i="14"/>
  <c r="H65" i="14"/>
  <c r="H69" i="14" s="1"/>
  <c r="H59" i="14"/>
  <c r="H58" i="14"/>
  <c r="H57" i="14"/>
  <c r="H56" i="14"/>
  <c r="H55" i="14"/>
  <c r="H54" i="14"/>
  <c r="H53" i="14"/>
  <c r="H52" i="14"/>
  <c r="H50" i="14"/>
  <c r="H45" i="14"/>
  <c r="H44" i="14"/>
  <c r="F40" i="14"/>
  <c r="H40" i="14" s="1"/>
  <c r="H39" i="14"/>
  <c r="H38" i="14"/>
  <c r="H37" i="14"/>
  <c r="H41" i="14" s="1"/>
  <c r="H32" i="14"/>
  <c r="H31" i="14"/>
  <c r="H29" i="14"/>
  <c r="H28" i="14"/>
  <c r="H27" i="14"/>
  <c r="F26" i="14"/>
  <c r="H26" i="14" s="1"/>
  <c r="H25" i="14"/>
  <c r="F16" i="14"/>
  <c r="H16" i="14" s="1"/>
  <c r="H15" i="14"/>
  <c r="H14" i="14"/>
  <c r="H13" i="14"/>
  <c r="H8" i="14"/>
  <c r="H7" i="14"/>
  <c r="H6" i="14"/>
  <c r="H4" i="14"/>
  <c r="H3" i="14"/>
  <c r="H10" i="14" s="1"/>
  <c r="H93" i="14" l="1"/>
  <c r="H81" i="14"/>
  <c r="H119" i="14" s="1"/>
  <c r="H306" i="14"/>
  <c r="H367" i="14"/>
  <c r="H60" i="14"/>
  <c r="H340" i="14"/>
  <c r="H288" i="14"/>
  <c r="H430" i="14" s="1"/>
  <c r="H17" i="14"/>
  <c r="H417" i="14"/>
  <c r="H137" i="14"/>
  <c r="H180" i="14"/>
  <c r="H152" i="14"/>
  <c r="H346" i="14"/>
  <c r="H47" i="14"/>
  <c r="H126" i="14"/>
  <c r="H315" i="14"/>
  <c r="H271" i="14"/>
  <c r="H428" i="14"/>
  <c r="H33" i="14"/>
  <c r="H34" i="14" s="1"/>
  <c r="H62" i="14" l="1"/>
  <c r="H189" i="14"/>
  <c r="H249" i="14" s="1"/>
  <c r="H669" i="14"/>
  <c r="H671" i="14" l="1"/>
</calcChain>
</file>

<file path=xl/sharedStrings.xml><?xml version="1.0" encoding="utf-8"?>
<sst xmlns="http://schemas.openxmlformats.org/spreadsheetml/2006/main" count="1072" uniqueCount="325">
  <si>
    <t>FOUNDATION SETTING</t>
  </si>
  <si>
    <t xml:space="preserve">MATERIAL    </t>
  </si>
  <si>
    <t>NAILS</t>
  </si>
  <si>
    <t>KG</t>
  </si>
  <si>
    <t>DAYS</t>
  </si>
  <si>
    <t>TIMBER 2 by 2</t>
  </si>
  <si>
    <t>PCS</t>
  </si>
  <si>
    <t>SAW</t>
  </si>
  <si>
    <t>ROPE</t>
  </si>
  <si>
    <t>GYPSUM POWDER</t>
  </si>
  <si>
    <t>TOTAL COST</t>
  </si>
  <si>
    <t>FOUNDATION EXCAVATION</t>
  </si>
  <si>
    <t>SHOVEL</t>
  </si>
  <si>
    <t>BASE EXCAVATIONS</t>
  </si>
  <si>
    <t>NO</t>
  </si>
  <si>
    <t>FOUNDATION EXCAVATIONS</t>
  </si>
  <si>
    <t>LABOUR CHARGE</t>
  </si>
  <si>
    <t>M</t>
  </si>
  <si>
    <t>CBM</t>
  </si>
  <si>
    <t>SAND</t>
  </si>
  <si>
    <t>cement</t>
  </si>
  <si>
    <t>BAGS</t>
  </si>
  <si>
    <t xml:space="preserve">LABOUR CHARGE </t>
  </si>
  <si>
    <t>MM 8</t>
  </si>
  <si>
    <t>LABOUR CHARGES</t>
  </si>
  <si>
    <t>FOUNDATION BUILDING</t>
  </si>
  <si>
    <t>No</t>
  </si>
  <si>
    <t>BACK FILLING &amp; COMPACTION</t>
  </si>
  <si>
    <t>HARDCORE</t>
  </si>
  <si>
    <t>KIFUSI</t>
  </si>
  <si>
    <t>TIMBER</t>
  </si>
  <si>
    <t>STEEL BAR</t>
  </si>
  <si>
    <t>mm 8</t>
  </si>
  <si>
    <t>ROLLER</t>
  </si>
  <si>
    <t xml:space="preserve">6" BLOCKS </t>
  </si>
  <si>
    <t xml:space="preserve">NAILS </t>
  </si>
  <si>
    <t>4 INCH</t>
  </si>
  <si>
    <t>3 INCH</t>
  </si>
  <si>
    <t>MM 12</t>
  </si>
  <si>
    <t>MILUNDA</t>
  </si>
  <si>
    <t>MBAO ZA 1 BY 10</t>
  </si>
  <si>
    <t>BINDING WIRE</t>
  </si>
  <si>
    <t>PVC Conduits pipe( 3/4'', class D, white)</t>
  </si>
  <si>
    <t>PVC Conduits pipe ( 1'', class D, white)</t>
  </si>
  <si>
    <t>Straight PVC Connector(3/4'', class D, white)</t>
  </si>
  <si>
    <t>PVC conduits pipe(1.5'' , class D white)</t>
  </si>
  <si>
    <t>Round box PVC(3/4", class D, white, 4ways)</t>
  </si>
  <si>
    <t>Tangent Glue(0.25Lts)</t>
  </si>
  <si>
    <t xml:space="preserve">Binding wire </t>
  </si>
  <si>
    <t>Nails, 2.5"</t>
  </si>
  <si>
    <t>4 TRAP</t>
  </si>
  <si>
    <t xml:space="preserve">PVC PIPE </t>
  </si>
  <si>
    <t xml:space="preserve">1.5'' </t>
  </si>
  <si>
    <t>PVC ELBOW</t>
  </si>
  <si>
    <t xml:space="preserve">PVC 45 </t>
  </si>
  <si>
    <t xml:space="preserve">PVC SOCKET </t>
  </si>
  <si>
    <t xml:space="preserve">PVC SOCKET PLUG </t>
  </si>
  <si>
    <t xml:space="preserve">PVC T-Y </t>
  </si>
  <si>
    <t xml:space="preserve">WATER </t>
  </si>
  <si>
    <t>LITRE 1000</t>
  </si>
  <si>
    <t>TRIP</t>
  </si>
  <si>
    <t>Labour charge</t>
  </si>
  <si>
    <t>FINISHING</t>
  </si>
  <si>
    <t xml:space="preserve">ELECTRICAL </t>
  </si>
  <si>
    <t>2.1  FIRST PROCEDURE</t>
  </si>
  <si>
    <t>2.1.1 METAL BOX DOUBLE TRONIC</t>
  </si>
  <si>
    <t>2.1.2 METAL BOX SINGLE TRONIC</t>
  </si>
  <si>
    <t>2.1.3 CONDUIT PIPES TRONIC</t>
  </si>
  <si>
    <t>2.1.5 ROUND BOX PLAIN</t>
  </si>
  <si>
    <t xml:space="preserve">2.1.6 LABOUR CHARGE </t>
  </si>
  <si>
    <t xml:space="preserve">BUDGET OF 01 PROCEDURE </t>
  </si>
  <si>
    <t>2.2.1           2.5 〖mm〗^2</t>
  </si>
  <si>
    <t>Red</t>
  </si>
  <si>
    <t>roll</t>
  </si>
  <si>
    <t>black</t>
  </si>
  <si>
    <t>green</t>
  </si>
  <si>
    <t>2.2.2          1.5 〖mm〗^2</t>
  </si>
  <si>
    <t>2.2.3 conduit pipes</t>
  </si>
  <si>
    <t>2.2.4 round box 4 way</t>
  </si>
  <si>
    <t>2.2.7 sadle clip 22 〖mm〗^2</t>
  </si>
  <si>
    <t>box</t>
  </si>
  <si>
    <t>2.2.8 labour charge</t>
  </si>
  <si>
    <t xml:space="preserve">BUDGET OF 02 PROCEDURE </t>
  </si>
  <si>
    <t>2.3.5       FAN</t>
  </si>
  <si>
    <t>2.3.9     DP SWITCH</t>
  </si>
  <si>
    <t>2.3.10   SWITCH SOCKET DOUBLE</t>
  </si>
  <si>
    <t xml:space="preserve">2.3.11   TV SOCKET </t>
  </si>
  <si>
    <t>2.3.12 CIRCUITS BRACKER</t>
  </si>
  <si>
    <t>2.3.13 EARTH ROD</t>
  </si>
  <si>
    <t>2.3.15  BULB</t>
  </si>
  <si>
    <t>2.3.16  LABOUR CHARGE</t>
  </si>
  <si>
    <t>BUDGET 03 PROCEDURE</t>
  </si>
  <si>
    <t>pcs</t>
  </si>
  <si>
    <t>BUDGET OF FLOOR WORK</t>
  </si>
  <si>
    <t>6.1  CLEAN WATER</t>
  </si>
  <si>
    <t xml:space="preserve">6.1.1  ELBO F  3/4" </t>
  </si>
  <si>
    <t>6.1.2  ELBO PLAN  3/4 "</t>
  </si>
  <si>
    <t>6.1.3  T CONNECTOR</t>
  </si>
  <si>
    <t>6.1.4  PIPES</t>
  </si>
  <si>
    <t>6.2  HARD WATER</t>
  </si>
  <si>
    <t>6.2.1  ELBO  1/2"</t>
  </si>
  <si>
    <t>6.2.2  ELBO  4"</t>
  </si>
  <si>
    <t>6.2.3 T CONNECTOR</t>
  </si>
  <si>
    <t>6.2.4 PIPES  3/2"</t>
  </si>
  <si>
    <t>6.2.5 PIPES   4"</t>
  </si>
  <si>
    <t>6.2.6 TANGIT</t>
  </si>
  <si>
    <t>6.2.7 Angle 45</t>
  </si>
  <si>
    <t>6.2.8  WORK</t>
  </si>
  <si>
    <t>BUDGET OF PLUMBING</t>
  </si>
  <si>
    <t>STAGE 07  PLASTER</t>
  </si>
  <si>
    <t>no</t>
  </si>
  <si>
    <t>CEMENT</t>
  </si>
  <si>
    <t xml:space="preserve"> labour charge</t>
  </si>
  <si>
    <t>BUDGET OF PLASTER</t>
  </si>
  <si>
    <t>STAGE 08 SKIMMING &amp; PAINTING (INTERNAL ,EXTERNAL &amp; GYPSUM BOARD) FOR WHOLE BUILDING</t>
  </si>
  <si>
    <t>8.1.1</t>
  </si>
  <si>
    <t>bags</t>
  </si>
  <si>
    <t>8.1.3</t>
  </si>
  <si>
    <t>Msasa</t>
  </si>
  <si>
    <t>no 20</t>
  </si>
  <si>
    <t>8.1.4</t>
  </si>
  <si>
    <t>8.1.5</t>
  </si>
  <si>
    <t>backet</t>
  </si>
  <si>
    <t>8.1.6</t>
  </si>
  <si>
    <t>8.2.1</t>
  </si>
  <si>
    <t>8.2.2</t>
  </si>
  <si>
    <t>8.2.3</t>
  </si>
  <si>
    <t>8.2.4</t>
  </si>
  <si>
    <t>Solvent</t>
  </si>
  <si>
    <t>litre</t>
  </si>
  <si>
    <t>8.2.5</t>
  </si>
  <si>
    <t xml:space="preserve">Vanish </t>
  </si>
  <si>
    <t>litre 4</t>
  </si>
  <si>
    <t>8.2.6</t>
  </si>
  <si>
    <t>Weather guard paint</t>
  </si>
  <si>
    <t>litre 20</t>
  </si>
  <si>
    <t>UFUNDI</t>
  </si>
  <si>
    <t>BUDGET OF SKIM &amp; PAINT COLOR</t>
  </si>
  <si>
    <t xml:space="preserve">STAGE 10 DOORS </t>
  </si>
  <si>
    <t>BUDGET FOR DOORS</t>
  </si>
  <si>
    <t>STAGE 11 TILES</t>
  </si>
  <si>
    <t xml:space="preserve"> grauts</t>
  </si>
  <si>
    <t>BUDGET OF TILES</t>
  </si>
  <si>
    <t>Kitchen sink</t>
  </si>
  <si>
    <t>Hand wash basin</t>
  </si>
  <si>
    <t>toilet</t>
  </si>
  <si>
    <t xml:space="preserve">BUDGET OF SANITARY </t>
  </si>
  <si>
    <t>STEP 13 SEPTIC TANK &amp; AWAY PIT</t>
  </si>
  <si>
    <t>KUCHIMBA SHIMO</t>
  </si>
  <si>
    <t>KUJENGEA</t>
  </si>
  <si>
    <t>kununua tofali</t>
  </si>
  <si>
    <t>BRC fabric</t>
  </si>
  <si>
    <t>sm</t>
  </si>
  <si>
    <t>binding wire</t>
  </si>
  <si>
    <t>kokoto</t>
  </si>
  <si>
    <t>m3</t>
  </si>
  <si>
    <t>mchanga</t>
  </si>
  <si>
    <t>PRYWOOD</t>
  </si>
  <si>
    <t>WORK</t>
  </si>
  <si>
    <t>BUDGET OF SEPTIC TANK</t>
  </si>
  <si>
    <t>lm</t>
  </si>
  <si>
    <t>Straight PVC Connector(1'', class White)</t>
  </si>
  <si>
    <t>Deep depth Round box PVC(1", class White, 4ways)</t>
  </si>
  <si>
    <t>Margarete</t>
  </si>
  <si>
    <t>plc.</t>
  </si>
  <si>
    <t>2.2.5 angle elbow</t>
  </si>
  <si>
    <t>2.2.6 junction box</t>
  </si>
  <si>
    <t>BLOCKS</t>
  </si>
  <si>
    <t>CURING</t>
  </si>
  <si>
    <t>FORMWORK DESHUTTERING</t>
  </si>
  <si>
    <t>2.2 SECOND PROCEDURE (TRONIC)</t>
  </si>
  <si>
    <t>2.3    THIRD PROCEDURE (TRONIC)</t>
  </si>
  <si>
    <t>2.3.1  3 GANG  2 WAY SWITCH</t>
  </si>
  <si>
    <t>2.3.2   4 GANG  2 WAY SWITCH</t>
  </si>
  <si>
    <t>2.3.3   1 GANG  1 WAY SWITCH</t>
  </si>
  <si>
    <t>2.3.4   2 GANG  2 WAY SWITCH</t>
  </si>
  <si>
    <t>2.3.6  HOLDER STRAIGH</t>
  </si>
  <si>
    <t>2.3.7   HOLDER SINGLE</t>
  </si>
  <si>
    <t>2.3.8   COOKER CONTROL UNIT</t>
  </si>
  <si>
    <t xml:space="preserve"> STAGE 06 PLUMBING (LESSO)</t>
  </si>
  <si>
    <t>STAGE 12 SANITARY APPLIANCES (GOODWILL)</t>
  </si>
  <si>
    <t>8.1 SKIMMING (MAGIC BUILDERS)</t>
  </si>
  <si>
    <t>8.2 PAINT COLOR (MAGIC BUILDERS)</t>
  </si>
  <si>
    <t>2.4  LAST PROCEDURE</t>
  </si>
  <si>
    <t xml:space="preserve">2.4.1           TYRE WIRE </t>
  </si>
  <si>
    <t>2.4.2          4  〖mm〗^2</t>
  </si>
  <si>
    <t>2.4.3          Blacket</t>
  </si>
  <si>
    <t>2.4.4         Junction box</t>
  </si>
  <si>
    <t>2.4.5         labour charge</t>
  </si>
  <si>
    <t xml:space="preserve">BUDGET OF LAST PROCEDURE </t>
  </si>
  <si>
    <t>Floor drain</t>
  </si>
  <si>
    <t>SM</t>
  </si>
  <si>
    <t>BASES(C25) AND STARTER</t>
  </si>
  <si>
    <t>CONCRETE</t>
  </si>
  <si>
    <t>OVERSITE CONCRETE &amp; GROUND BEAM (C20)</t>
  </si>
  <si>
    <t>DPC (30M)</t>
  </si>
  <si>
    <t>TOTAL COST FOR GROUND FLOOR</t>
  </si>
  <si>
    <t xml:space="preserve">STAGE 02 </t>
  </si>
  <si>
    <t>STAGE 9: WINDOWS</t>
  </si>
  <si>
    <t>BUDGET FOR WINDOWS</t>
  </si>
  <si>
    <t xml:space="preserve"> size of tiles 0.6X0.6</t>
  </si>
  <si>
    <t>size 0.6X0.3</t>
  </si>
  <si>
    <t>TOTAL COST FOR FINISHING OF  GROUND FLOOR</t>
  </si>
  <si>
    <t>TOTAL COST FOR SUBSTRUCTURE</t>
  </si>
  <si>
    <t>STAGE 01      BLANDERING</t>
  </si>
  <si>
    <t>2 by 2</t>
  </si>
  <si>
    <t>TRASPORT</t>
  </si>
  <si>
    <t>BUDGET OF BLANDERING</t>
  </si>
  <si>
    <t>STAGE 03</t>
  </si>
  <si>
    <t>CEILING WORK</t>
  </si>
  <si>
    <t>Gypsum board</t>
  </si>
  <si>
    <t>Gypsum board screw</t>
  </si>
  <si>
    <t>BOX</t>
  </si>
  <si>
    <t>BUDGET OF CEILING WORK</t>
  </si>
  <si>
    <t>ROOF</t>
  </si>
  <si>
    <t xml:space="preserve">         </t>
  </si>
  <si>
    <t>LABOUR CHARGE FOR SETTING MAIN HOUSE</t>
  </si>
  <si>
    <t>1 BY 6</t>
  </si>
  <si>
    <t>MARINE BOARD, 1.2X2.4</t>
  </si>
  <si>
    <t xml:space="preserve">4'' </t>
  </si>
  <si>
    <t xml:space="preserve">PVC ELBOW </t>
  </si>
  <si>
    <t>PVC SOCKET PLUG</t>
  </si>
  <si>
    <t xml:space="preserve">CONCRETE  </t>
  </si>
  <si>
    <t>The wire legth depend on the opinion of surveyor</t>
  </si>
  <si>
    <t>Handheld bidet spray</t>
  </si>
  <si>
    <t>SKIRTING</t>
  </si>
  <si>
    <t>Box</t>
  </si>
  <si>
    <t>FINISHING FOR FIRST FLOOR</t>
  </si>
  <si>
    <t>TOTAL COST FOR FIRST FLOOR</t>
  </si>
  <si>
    <t>TOTAL BUDGET BEFORE FINISHING</t>
  </si>
  <si>
    <t>TOTAL CONSTRUCTION BUDGET FOR FINISHING</t>
  </si>
  <si>
    <t>SQM</t>
  </si>
  <si>
    <t>FORMWORK</t>
  </si>
  <si>
    <t>MBAO 1 BY 6</t>
  </si>
  <si>
    <t>TILES</t>
  </si>
  <si>
    <t>Stair baluster</t>
  </si>
  <si>
    <t>600x 120x 9mm high skirting tiles 25 @</t>
  </si>
  <si>
    <t>STORE &amp; TOILET</t>
  </si>
  <si>
    <t xml:space="preserve"> Kg</t>
  </si>
  <si>
    <t>inch 4</t>
  </si>
  <si>
    <t>inch 3</t>
  </si>
  <si>
    <t>GROUND FLOOR</t>
  </si>
  <si>
    <t>TOTAL COST FOR FINISHING OF FIRST FLOOR</t>
  </si>
  <si>
    <t>BUDGET FOR SKIRTING</t>
  </si>
  <si>
    <t>ROLL</t>
  </si>
  <si>
    <t>PC</t>
  </si>
  <si>
    <r>
      <t>MASONRY GROUND</t>
    </r>
    <r>
      <rPr>
        <b/>
        <sz val="10"/>
        <color rgb="FFFF0000"/>
        <rFont val="Bahnschrift Light"/>
        <family val="2"/>
      </rPr>
      <t xml:space="preserve"> FLOOR</t>
    </r>
  </si>
  <si>
    <r>
      <t xml:space="preserve">COLUMN WORK GROUND </t>
    </r>
    <r>
      <rPr>
        <b/>
        <sz val="10"/>
        <color rgb="FFFF0000"/>
        <rFont val="Bahnschrift Light"/>
        <family val="2"/>
      </rPr>
      <t>FLOOR</t>
    </r>
    <r>
      <rPr>
        <b/>
        <sz val="10"/>
        <color theme="1"/>
        <rFont val="Bahnschrift Light"/>
        <family val="2"/>
      </rPr>
      <t xml:space="preserve"> (C25)</t>
    </r>
  </si>
  <si>
    <r>
      <rPr>
        <b/>
        <sz val="10"/>
        <color rgb="FFFF0000"/>
        <rFont val="Bahnschrift Light"/>
        <family val="2"/>
      </rPr>
      <t>GROUND FLOOR; STAIRS</t>
    </r>
    <r>
      <rPr>
        <b/>
        <sz val="10"/>
        <color theme="1"/>
        <rFont val="Bahnschrift Light"/>
        <family val="2"/>
      </rPr>
      <t>- SHUTTERING &amp; STEEL FIX</t>
    </r>
  </si>
  <si>
    <r>
      <rPr>
        <b/>
        <sz val="10"/>
        <color rgb="FFFF0000"/>
        <rFont val="Bahnschrift Light"/>
        <family val="2"/>
      </rPr>
      <t>GROUND FLOOR;STAIRS</t>
    </r>
    <r>
      <rPr>
        <b/>
        <sz val="10"/>
        <color theme="1"/>
        <rFont val="Bahnschrift Light"/>
        <family val="2"/>
      </rPr>
      <t>-CONCRETE WORK (C25)</t>
    </r>
  </si>
  <si>
    <r>
      <rPr>
        <b/>
        <sz val="10"/>
        <color rgb="FFFF0000"/>
        <rFont val="Bahnschrift Light"/>
        <family val="2"/>
      </rPr>
      <t>GROUND FLOOR SLAB</t>
    </r>
    <r>
      <rPr>
        <b/>
        <sz val="10"/>
        <color theme="1"/>
        <rFont val="Bahnschrift Light"/>
        <family val="2"/>
      </rPr>
      <t>- ELECTRIC,PLUMBING,CCTV,FIRE</t>
    </r>
  </si>
  <si>
    <r>
      <t xml:space="preserve">MASONRY FIRST </t>
    </r>
    <r>
      <rPr>
        <b/>
        <sz val="10"/>
        <color rgb="FFFF0000"/>
        <rFont val="Bahnschrift Light"/>
        <family val="2"/>
      </rPr>
      <t>FLOOR</t>
    </r>
  </si>
  <si>
    <r>
      <t xml:space="preserve">COLUMN WORK FIRST </t>
    </r>
    <r>
      <rPr>
        <b/>
        <sz val="10"/>
        <color rgb="FFFF0000"/>
        <rFont val="Bahnschrift Light"/>
        <family val="2"/>
      </rPr>
      <t>FLOOR</t>
    </r>
    <r>
      <rPr>
        <b/>
        <sz val="10"/>
        <color theme="1"/>
        <rFont val="Bahnschrift Light"/>
        <family val="2"/>
      </rPr>
      <t xml:space="preserve"> (C25)</t>
    </r>
  </si>
  <si>
    <t>Sika guard (5L)</t>
  </si>
  <si>
    <t>Alka primer (20L)</t>
  </si>
  <si>
    <t>Home guard (20L)</t>
  </si>
  <si>
    <t>Paint (20L)</t>
  </si>
  <si>
    <t>plascon</t>
  </si>
  <si>
    <t>Masking tape</t>
  </si>
  <si>
    <t>One coat ceiling (20L)</t>
  </si>
  <si>
    <t>Roller brush</t>
  </si>
  <si>
    <t>Tanzania brush</t>
  </si>
  <si>
    <t>8.1.7</t>
  </si>
  <si>
    <t>8.1.8</t>
  </si>
  <si>
    <t>8.1.9</t>
  </si>
  <si>
    <t>8.1.10</t>
  </si>
  <si>
    <t>Whiteskim wall put (25KG)</t>
  </si>
  <si>
    <t>fibre tape (90M)</t>
  </si>
  <si>
    <t>2.3.6  HOLDER STRAIGHT</t>
  </si>
  <si>
    <t>CABINET</t>
  </si>
  <si>
    <t>GLASS BALCONY</t>
  </si>
  <si>
    <t>DPM(2X100M)</t>
  </si>
  <si>
    <t>2.1.4 MAIN SWITCH 12 WAYS HAVEL</t>
  </si>
  <si>
    <t xml:space="preserve">CONCRETE </t>
  </si>
  <si>
    <t>BLINDING WORK</t>
  </si>
  <si>
    <t>MM 16</t>
  </si>
  <si>
    <t>mm 16</t>
  </si>
  <si>
    <r>
      <rPr>
        <b/>
        <sz val="10"/>
        <color rgb="FFFF0000"/>
        <rFont val="Bahnschrift Light"/>
        <family val="2"/>
      </rPr>
      <t>FIRST FLOOR; SLAB, BEAM, STAIRS</t>
    </r>
    <r>
      <rPr>
        <b/>
        <sz val="10"/>
        <color theme="1"/>
        <rFont val="Bahnschrift Light"/>
        <family val="2"/>
      </rPr>
      <t>- SHUTTERING &amp; STEEL FIX</t>
    </r>
  </si>
  <si>
    <r>
      <rPr>
        <b/>
        <sz val="10"/>
        <color rgb="FFFF0000"/>
        <rFont val="Bahnschrift Light"/>
        <family val="2"/>
      </rPr>
      <t>FIRST FLOOR; SLAB, BEAM, STAIRS</t>
    </r>
    <r>
      <rPr>
        <b/>
        <sz val="10"/>
        <color theme="1"/>
        <rFont val="Bahnschrift Light"/>
        <family val="2"/>
      </rPr>
      <t>-CONCRETE WORK (C25)</t>
    </r>
  </si>
  <si>
    <r>
      <rPr>
        <b/>
        <sz val="10"/>
        <color rgb="FFFF0000"/>
        <rFont val="Bahnschrift Light"/>
        <family val="2"/>
      </rPr>
      <t>FIRST FLOOR; SLAB, STAIRS</t>
    </r>
    <r>
      <rPr>
        <b/>
        <sz val="10"/>
        <color theme="1"/>
        <rFont val="Bahnschrift Light"/>
        <family val="2"/>
      </rPr>
      <t>- ELECTRIC,PLUMBING,CCTV,FIRE</t>
    </r>
  </si>
  <si>
    <t>Urinals</t>
  </si>
  <si>
    <t>STAIR BALUSTER</t>
  </si>
  <si>
    <t>FINISHING FOR ROOF FLOOR</t>
  </si>
  <si>
    <t>TOTAL COST FOR FINISHING OF ROOF FLOOR</t>
  </si>
  <si>
    <t>TOTAL COST FOR ROOF FLOOR</t>
  </si>
  <si>
    <t>mm 12</t>
  </si>
  <si>
    <t xml:space="preserve">ROOF </t>
  </si>
  <si>
    <t xml:space="preserve">MBAO </t>
  </si>
  <si>
    <t>2 BY 4</t>
  </si>
  <si>
    <t>2 BY 2</t>
  </si>
  <si>
    <t>ALAF, GAUGE 28</t>
  </si>
  <si>
    <t>2.5 INCH</t>
  </si>
  <si>
    <t>VALLEY</t>
  </si>
  <si>
    <t>CAP</t>
  </si>
  <si>
    <t>silicon</t>
  </si>
  <si>
    <t>bitumen</t>
  </si>
  <si>
    <t>1 BY 8</t>
  </si>
  <si>
    <t>2000x2700 mm high single glass</t>
  </si>
  <si>
    <t>2500x2700 mm</t>
  </si>
  <si>
    <t>1500x1400 mm</t>
  </si>
  <si>
    <t>3000x3200 mm</t>
  </si>
  <si>
    <t>2500x3200 mm</t>
  </si>
  <si>
    <t>2230x3200 mm</t>
  </si>
  <si>
    <t>1730x3200 mm</t>
  </si>
  <si>
    <t>2790x3200 mm</t>
  </si>
  <si>
    <t xml:space="preserve">1500x3200 mm mninga pannelled frame and doors </t>
  </si>
  <si>
    <t xml:space="preserve">Ditto 800x3200 mm </t>
  </si>
  <si>
    <t xml:space="preserve">Ditto 1000x3200 mm </t>
  </si>
  <si>
    <t>Washing machine</t>
  </si>
  <si>
    <t>2000X2700 mm high single glass</t>
  </si>
  <si>
    <t>1500X3200 mm</t>
  </si>
  <si>
    <t>1000X3200 mm</t>
  </si>
  <si>
    <t>1500X1400 mm</t>
  </si>
  <si>
    <t>2500X2700 mm</t>
  </si>
  <si>
    <t>1800X3200 mm</t>
  </si>
  <si>
    <t>2500X3200mm</t>
  </si>
  <si>
    <t>2230X3200 mm</t>
  </si>
  <si>
    <t>1730X3200 mm</t>
  </si>
  <si>
    <r>
      <rPr>
        <b/>
        <sz val="10"/>
        <color rgb="FFFF0000"/>
        <rFont val="Bahnschrift Light"/>
        <family val="2"/>
      </rPr>
      <t>ROOF FLOOR; SLAB, BEAM, STAIRS</t>
    </r>
    <r>
      <rPr>
        <b/>
        <sz val="10"/>
        <color theme="1"/>
        <rFont val="Bahnschrift Light"/>
        <family val="2"/>
      </rPr>
      <t>-CONCRETE WORK (C25)</t>
    </r>
  </si>
  <si>
    <r>
      <rPr>
        <b/>
        <sz val="10"/>
        <color rgb="FFFF0000"/>
        <rFont val="Bahnschrift Light"/>
        <family val="2"/>
      </rPr>
      <t>ROOF FLOOR; SLAB, STAIRS</t>
    </r>
    <r>
      <rPr>
        <b/>
        <sz val="10"/>
        <color theme="1"/>
        <rFont val="Bahnschrift Light"/>
        <family val="2"/>
      </rPr>
      <t>- ELECTRIC,PLUMBING,CCTV,FIRE</t>
    </r>
  </si>
  <si>
    <r>
      <rPr>
        <b/>
        <sz val="10"/>
        <color rgb="FFFF0000"/>
        <rFont val="Bahnschrift Light"/>
        <family val="2"/>
      </rPr>
      <t>ROOF FLOOR; SLAB, BEAM, STAIRS</t>
    </r>
    <r>
      <rPr>
        <b/>
        <sz val="10"/>
        <color theme="1"/>
        <rFont val="Bahnschrift Light"/>
        <family val="2"/>
      </rPr>
      <t>- SHUTTERING &amp; STEEL FIX</t>
    </r>
  </si>
  <si>
    <r>
      <t xml:space="preserve">MASONRY ROOF </t>
    </r>
    <r>
      <rPr>
        <b/>
        <sz val="10"/>
        <color rgb="FFFF0000"/>
        <rFont val="Bahnschrift Light"/>
        <family val="2"/>
      </rPr>
      <t>FLOOR</t>
    </r>
  </si>
  <si>
    <t>TOTAL CONSTRUCTION BUDGET FOR RESIDENTIAL BUILDING</t>
  </si>
  <si>
    <t xml:space="preserve">1500x3000 mm mninga pannelled frame and doors </t>
  </si>
  <si>
    <t>RESIDENTIAL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</si>
</sst>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0_-;\-* #,##0.00_-;_-* &quot;-&quot;??_-;_-@_-"/>
    <numFmt numFmtId="166" formatCode="_-* #,##0_-;\-* #,##0_-;_-* &quot;-&quot;??_-;_-@_-"/>
    <numFmt numFmtId="167" formatCode="_(* #,##0_);_(* \(#,##0\);_(* &quot;-&quot;??_);_(@_)"/>
    <numFmt numFmtId="168" formatCode="_-* #,##0\ _€_-;\-* #,##0\ _€_-;_-* &quot;-&quot;??\ _€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Bahnschrift Light"/>
      <family val="2"/>
    </font>
    <font>
      <b/>
      <sz val="11"/>
      <color theme="1"/>
      <name val="Bahnschrift Light"/>
      <family val="2"/>
    </font>
    <font>
      <sz val="11"/>
      <name val="Bahnschrift Light"/>
      <family val="2"/>
    </font>
    <font>
      <b/>
      <u/>
      <sz val="11"/>
      <color rgb="FFC00000"/>
      <name val="Bahnschrift Light"/>
      <family val="2"/>
    </font>
    <font>
      <sz val="12"/>
      <color theme="1"/>
      <name val="Bahnschrift Light"/>
      <family val="2"/>
    </font>
    <font>
      <b/>
      <sz val="10"/>
      <color rgb="FFFF0000"/>
      <name val="Bahnschrift Light"/>
      <family val="2"/>
    </font>
    <font>
      <b/>
      <sz val="10"/>
      <color theme="1"/>
      <name val="Bahnschrift Light"/>
      <family val="2"/>
    </font>
    <font>
      <b/>
      <sz val="10"/>
      <name val="Bahnschrift Light"/>
      <family val="2"/>
    </font>
    <font>
      <sz val="10"/>
      <name val="Bahnschrift Light"/>
      <family val="2"/>
    </font>
    <font>
      <b/>
      <sz val="10"/>
      <color rgb="FFC00000"/>
      <name val="Bahnschrift Light"/>
      <family val="2"/>
    </font>
    <font>
      <sz val="10"/>
      <color theme="1"/>
      <name val="Bahnschrift Light"/>
      <family val="2"/>
    </font>
    <font>
      <sz val="10"/>
      <color rgb="FFC00000"/>
      <name val="Bahnschrift Light"/>
      <family val="2"/>
    </font>
    <font>
      <sz val="10"/>
      <color theme="5"/>
      <name val="Bahnschrift Light"/>
      <family val="2"/>
    </font>
    <font>
      <b/>
      <u/>
      <sz val="10"/>
      <color rgb="FFFF0000"/>
      <name val="Bahnschrift Light"/>
      <family val="2"/>
    </font>
    <font>
      <b/>
      <u/>
      <sz val="10"/>
      <color rgb="FFC00000"/>
      <name val="Bahnschrift Light"/>
      <family val="2"/>
    </font>
    <font>
      <b/>
      <u/>
      <sz val="10"/>
      <color theme="1"/>
      <name val="Bahnschrift Light"/>
      <family val="2"/>
    </font>
    <font>
      <sz val="10"/>
      <color rgb="FF00B050"/>
      <name val="Bahnschrift Light"/>
      <family val="2"/>
    </font>
    <font>
      <b/>
      <u/>
      <sz val="10"/>
      <name val="Bahnschrift Light"/>
      <family val="2"/>
    </font>
    <font>
      <u/>
      <sz val="10"/>
      <color rgb="FFC00000"/>
      <name val="Bahnschrift Light"/>
      <family val="2"/>
    </font>
    <font>
      <b/>
      <sz val="11"/>
      <color rgb="FFC00000"/>
      <name val="Bahnschrift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59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vertical="top"/>
    </xf>
    <xf numFmtId="166" fontId="5" fillId="0" borderId="1" xfId="1" applyNumberFormat="1" applyFont="1" applyBorder="1" applyAlignment="1">
      <alignment horizontal="right" vertical="top"/>
    </xf>
    <xf numFmtId="0" fontId="3" fillId="0" borderId="0" xfId="0" applyFont="1" applyFill="1"/>
    <xf numFmtId="0" fontId="3" fillId="0" borderId="1" xfId="0" applyFont="1" applyBorder="1" applyAlignment="1">
      <alignment vertical="top"/>
    </xf>
    <xf numFmtId="166" fontId="3" fillId="0" borderId="1" xfId="1" applyNumberFormat="1" applyFont="1" applyBorder="1" applyAlignment="1">
      <alignment horizontal="right" vertical="top"/>
    </xf>
    <xf numFmtId="0" fontId="3" fillId="0" borderId="0" xfId="0" applyFont="1" applyBorder="1"/>
    <xf numFmtId="166" fontId="6" fillId="0" borderId="11" xfId="1" applyNumberFormat="1" applyFont="1" applyBorder="1" applyAlignment="1">
      <alignment horizontal="right" vertical="top"/>
    </xf>
    <xf numFmtId="0" fontId="5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Fill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1" fillId="0" borderId="5" xfId="0" applyFont="1" applyBorder="1" applyAlignment="1">
      <alignment vertical="top"/>
    </xf>
    <xf numFmtId="0" fontId="13" fillId="0" borderId="0" xfId="0" applyFont="1"/>
    <xf numFmtId="0" fontId="13" fillId="0" borderId="0" xfId="0" applyFont="1" applyFill="1"/>
    <xf numFmtId="0" fontId="13" fillId="0" borderId="0" xfId="0" applyFont="1" applyBorder="1" applyAlignment="1">
      <alignment vertical="top"/>
    </xf>
    <xf numFmtId="0" fontId="15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1" fillId="0" borderId="1" xfId="0" applyFont="1" applyFill="1" applyBorder="1" applyAlignment="1">
      <alignment vertical="top"/>
    </xf>
    <xf numFmtId="0" fontId="11" fillId="0" borderId="5" xfId="0" applyFont="1" applyFill="1" applyBorder="1" applyAlignment="1">
      <alignment vertical="top"/>
    </xf>
    <xf numFmtId="0" fontId="8" fillId="0" borderId="0" xfId="0" applyFont="1" applyBorder="1" applyAlignment="1">
      <alignment vertical="top"/>
    </xf>
    <xf numFmtId="0" fontId="13" fillId="0" borderId="0" xfId="0" applyFont="1" applyBorder="1"/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9" xfId="0" applyFont="1" applyBorder="1" applyAlignment="1">
      <alignment vertical="top"/>
    </xf>
    <xf numFmtId="0" fontId="8" fillId="0" borderId="0" xfId="0" applyFont="1" applyBorder="1"/>
    <xf numFmtId="0" fontId="8" fillId="0" borderId="0" xfId="0" applyFont="1" applyBorder="1" applyAlignment="1">
      <alignment horizontal="center" vertical="top"/>
    </xf>
    <xf numFmtId="0" fontId="11" fillId="0" borderId="1" xfId="2" applyFont="1" applyBorder="1" applyAlignment="1">
      <alignment horizontal="left" vertical="center"/>
    </xf>
    <xf numFmtId="0" fontId="8" fillId="0" borderId="0" xfId="0" applyFont="1" applyFill="1" applyBorder="1" applyAlignment="1">
      <alignment vertical="top"/>
    </xf>
    <xf numFmtId="0" fontId="11" fillId="0" borderId="1" xfId="0" applyFont="1" applyBorder="1" applyAlignment="1">
      <alignment horizontal="left" vertical="top"/>
    </xf>
    <xf numFmtId="0" fontId="8" fillId="0" borderId="0" xfId="5" applyFont="1" applyFill="1" applyBorder="1" applyAlignment="1">
      <alignment vertical="top"/>
    </xf>
    <xf numFmtId="0" fontId="8" fillId="0" borderId="0" xfId="0" applyFont="1" applyFill="1" applyBorder="1"/>
    <xf numFmtId="0" fontId="12" fillId="0" borderId="0" xfId="0" applyFont="1" applyBorder="1" applyAlignment="1">
      <alignment horizontal="center" vertical="top"/>
    </xf>
    <xf numFmtId="0" fontId="17" fillId="0" borderId="0" xfId="0" applyFont="1" applyBorder="1" applyAlignment="1">
      <alignment vertical="top"/>
    </xf>
    <xf numFmtId="0" fontId="17" fillId="0" borderId="6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9" fillId="0" borderId="5" xfId="0" applyFont="1" applyBorder="1" applyAlignment="1">
      <alignment vertical="top"/>
    </xf>
    <xf numFmtId="0" fontId="17" fillId="0" borderId="1" xfId="0" applyFont="1" applyBorder="1" applyAlignment="1">
      <alignment vertical="top"/>
    </xf>
    <xf numFmtId="0" fontId="17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center"/>
    </xf>
    <xf numFmtId="166" fontId="11" fillId="0" borderId="1" xfId="1" applyNumberFormat="1" applyFont="1" applyBorder="1" applyAlignment="1">
      <alignment horizontal="right" vertical="center"/>
    </xf>
    <xf numFmtId="166" fontId="11" fillId="0" borderId="5" xfId="1" applyNumberFormat="1" applyFont="1" applyBorder="1" applyAlignment="1">
      <alignment horizontal="right" vertical="center"/>
    </xf>
    <xf numFmtId="166" fontId="12" fillId="0" borderId="1" xfId="1" applyNumberFormat="1" applyFont="1" applyBorder="1" applyAlignment="1">
      <alignment horizontal="right" vertical="center"/>
    </xf>
    <xf numFmtId="166" fontId="13" fillId="0" borderId="0" xfId="1" applyNumberFormat="1" applyFont="1" applyAlignment="1">
      <alignment horizontal="right" vertical="center"/>
    </xf>
    <xf numFmtId="166" fontId="14" fillId="0" borderId="0" xfId="1" applyNumberFormat="1" applyFont="1" applyAlignment="1">
      <alignment horizontal="right" vertical="center"/>
    </xf>
    <xf numFmtId="166" fontId="13" fillId="0" borderId="0" xfId="1" applyNumberFormat="1" applyFont="1" applyFill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/>
    </xf>
    <xf numFmtId="166" fontId="8" fillId="0" borderId="1" xfId="1" applyNumberFormat="1" applyFont="1" applyBorder="1" applyAlignment="1">
      <alignment horizontal="right" vertical="center"/>
    </xf>
    <xf numFmtId="166" fontId="13" fillId="0" borderId="1" xfId="1" applyNumberFormat="1" applyFont="1" applyBorder="1" applyAlignment="1">
      <alignment horizontal="right" vertical="center"/>
    </xf>
    <xf numFmtId="166" fontId="11" fillId="0" borderId="1" xfId="1" applyNumberFormat="1" applyFont="1" applyFill="1" applyBorder="1" applyAlignment="1">
      <alignment horizontal="right" vertical="center"/>
    </xf>
    <xf numFmtId="166" fontId="11" fillId="0" borderId="5" xfId="1" applyNumberFormat="1" applyFont="1" applyFill="1" applyBorder="1" applyAlignment="1">
      <alignment horizontal="right" vertical="center"/>
    </xf>
    <xf numFmtId="166" fontId="8" fillId="0" borderId="0" xfId="1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166" fontId="8" fillId="0" borderId="0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167" fontId="11" fillId="0" borderId="1" xfId="1" applyNumberFormat="1" applyFont="1" applyBorder="1" applyAlignment="1">
      <alignment horizontal="right" vertical="center"/>
    </xf>
    <xf numFmtId="166" fontId="8" fillId="0" borderId="0" xfId="5" applyNumberFormat="1" applyFont="1" applyFill="1" applyBorder="1" applyAlignment="1">
      <alignment horizontal="right" vertical="center"/>
    </xf>
    <xf numFmtId="0" fontId="8" fillId="0" borderId="0" xfId="5" applyFont="1" applyFill="1" applyBorder="1" applyAlignment="1">
      <alignment horizontal="right" vertical="center"/>
    </xf>
    <xf numFmtId="167" fontId="16" fillId="0" borderId="1" xfId="1" applyNumberFormat="1" applyFont="1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167" fontId="17" fillId="0" borderId="0" xfId="1" applyNumberFormat="1" applyFont="1" applyBorder="1" applyAlignment="1">
      <alignment horizontal="right" vertical="center"/>
    </xf>
    <xf numFmtId="166" fontId="17" fillId="0" borderId="11" xfId="1" applyNumberFormat="1" applyFont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166" fontId="17" fillId="0" borderId="0" xfId="1" applyNumberFormat="1" applyFont="1" applyBorder="1" applyAlignment="1">
      <alignment horizontal="right" vertical="center"/>
    </xf>
    <xf numFmtId="0" fontId="17" fillId="0" borderId="13" xfId="0" applyFont="1" applyBorder="1" applyAlignment="1">
      <alignment horizontal="right" vertical="center"/>
    </xf>
    <xf numFmtId="166" fontId="17" fillId="0" borderId="14" xfId="1" applyNumberFormat="1" applyFont="1" applyBorder="1" applyAlignment="1">
      <alignment horizontal="right" vertical="center"/>
    </xf>
    <xf numFmtId="166" fontId="17" fillId="0" borderId="1" xfId="1" applyNumberFormat="1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166" fontId="17" fillId="0" borderId="6" xfId="1" applyNumberFormat="1" applyFont="1" applyBorder="1" applyAlignment="1">
      <alignment horizontal="right" vertical="center"/>
    </xf>
    <xf numFmtId="167" fontId="12" fillId="0" borderId="1" xfId="1" applyNumberFormat="1" applyFont="1" applyBorder="1" applyAlignment="1">
      <alignment horizontal="right" vertical="center"/>
    </xf>
    <xf numFmtId="166" fontId="19" fillId="0" borderId="5" xfId="1" applyNumberFormat="1" applyFont="1" applyBorder="1" applyAlignment="1">
      <alignment horizontal="right" vertical="center"/>
    </xf>
    <xf numFmtId="166" fontId="11" fillId="0" borderId="0" xfId="1" applyNumberFormat="1" applyFont="1" applyBorder="1" applyAlignment="1">
      <alignment horizontal="right" vertical="center"/>
    </xf>
    <xf numFmtId="167" fontId="8" fillId="0" borderId="1" xfId="1" applyNumberFormat="1" applyFont="1" applyBorder="1" applyAlignment="1">
      <alignment horizontal="right" vertical="center"/>
    </xf>
    <xf numFmtId="167" fontId="17" fillId="0" borderId="1" xfId="1" applyNumberFormat="1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166" fontId="13" fillId="0" borderId="0" xfId="1" applyNumberFormat="1" applyFont="1" applyBorder="1" applyAlignment="1">
      <alignment horizontal="right" vertical="center"/>
    </xf>
    <xf numFmtId="166" fontId="17" fillId="0" borderId="0" xfId="1" applyNumberFormat="1" applyFont="1" applyFill="1" applyBorder="1" applyAlignment="1">
      <alignment horizontal="right" vertical="center"/>
    </xf>
    <xf numFmtId="166" fontId="8" fillId="0" borderId="0" xfId="0" applyNumberFormat="1" applyFont="1" applyBorder="1" applyAlignment="1">
      <alignment horizontal="right" vertical="center"/>
    </xf>
    <xf numFmtId="168" fontId="8" fillId="0" borderId="0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1" fillId="0" borderId="9" xfId="0" applyFont="1" applyBorder="1" applyAlignment="1">
      <alignment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6" fillId="0" borderId="12" xfId="0" applyFont="1" applyBorder="1" applyAlignment="1">
      <alignment horizontal="center" vertical="top"/>
    </xf>
    <xf numFmtId="167" fontId="8" fillId="0" borderId="12" xfId="1" applyNumberFormat="1" applyFont="1" applyBorder="1" applyAlignment="1">
      <alignment horizontal="right" vertical="center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167" fontId="8" fillId="0" borderId="0" xfId="1" applyNumberFormat="1" applyFont="1" applyBorder="1" applyAlignment="1">
      <alignment horizontal="center" vertical="top"/>
    </xf>
    <xf numFmtId="166" fontId="21" fillId="0" borderId="0" xfId="1" applyNumberFormat="1" applyFont="1" applyBorder="1" applyAlignment="1">
      <alignment horizontal="right" vertical="center"/>
    </xf>
    <xf numFmtId="168" fontId="10" fillId="0" borderId="0" xfId="1" applyNumberFormat="1" applyFont="1" applyFill="1" applyBorder="1" applyAlignment="1">
      <alignment horizontal="right" vertical="top"/>
    </xf>
    <xf numFmtId="167" fontId="8" fillId="0" borderId="1" xfId="1" applyNumberFormat="1" applyFont="1" applyBorder="1" applyAlignment="1">
      <alignment horizontal="center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11" fillId="0" borderId="9" xfId="0" applyFont="1" applyBorder="1" applyAlignment="1">
      <alignment vertical="top"/>
    </xf>
    <xf numFmtId="0" fontId="8" fillId="0" borderId="0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5" fillId="0" borderId="5" xfId="0" applyFont="1" applyBorder="1" applyAlignment="1">
      <alignment vertical="top"/>
    </xf>
    <xf numFmtId="166" fontId="5" fillId="0" borderId="5" xfId="1" applyNumberFormat="1" applyFont="1" applyBorder="1" applyAlignment="1">
      <alignment horizontal="right" vertical="top"/>
    </xf>
    <xf numFmtId="166" fontId="22" fillId="0" borderId="4" xfId="1" applyNumberFormat="1" applyFont="1" applyBorder="1" applyAlignment="1">
      <alignment horizontal="right" vertical="top"/>
    </xf>
    <xf numFmtId="0" fontId="12" fillId="0" borderId="12" xfId="0" applyFont="1" applyBorder="1" applyAlignment="1">
      <alignment horizontal="center" vertical="top"/>
    </xf>
    <xf numFmtId="166" fontId="12" fillId="0" borderId="12" xfId="1" applyNumberFormat="1" applyFont="1" applyBorder="1" applyAlignment="1">
      <alignment horizontal="right" vertical="center"/>
    </xf>
    <xf numFmtId="0" fontId="11" fillId="0" borderId="14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8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166" fontId="8" fillId="0" borderId="9" xfId="1" applyNumberFormat="1" applyFont="1" applyBorder="1" applyAlignment="1">
      <alignment horizontal="right" vertical="center"/>
    </xf>
    <xf numFmtId="166" fontId="13" fillId="0" borderId="1" xfId="1" applyNumberFormat="1" applyFont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166" fontId="6" fillId="0" borderId="0" xfId="1" applyNumberFormat="1" applyFont="1" applyBorder="1" applyAlignment="1">
      <alignment horizontal="right" vertical="top"/>
    </xf>
    <xf numFmtId="0" fontId="8" fillId="0" borderId="0" xfId="0" applyFont="1" applyFill="1" applyBorder="1" applyAlignment="1">
      <alignment horizontal="center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7" fillId="0" borderId="2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2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11" fillId="0" borderId="7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0" fontId="17" fillId="0" borderId="7" xfId="0" applyFont="1" applyBorder="1" applyAlignment="1">
      <alignment horizontal="center" vertical="top"/>
    </xf>
    <xf numFmtId="0" fontId="17" fillId="0" borderId="8" xfId="0" applyFont="1" applyBorder="1" applyAlignment="1">
      <alignment horizontal="center" vertical="top"/>
    </xf>
    <xf numFmtId="0" fontId="17" fillId="0" borderId="9" xfId="0" applyFont="1" applyBorder="1" applyAlignment="1">
      <alignment horizontal="center" vertical="top"/>
    </xf>
    <xf numFmtId="0" fontId="10" fillId="0" borderId="7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7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11" fillId="0" borderId="20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8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11" fillId="0" borderId="7" xfId="2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9" xfId="2" applyFont="1" applyBorder="1" applyAlignment="1">
      <alignment horizontal="left" vertical="center"/>
    </xf>
    <xf numFmtId="0" fontId="9" fillId="0" borderId="12" xfId="0" applyFont="1" applyFill="1" applyBorder="1" applyAlignment="1">
      <alignment horizontal="center" vertical="top"/>
    </xf>
    <xf numFmtId="0" fontId="11" fillId="0" borderId="7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0" fontId="11" fillId="0" borderId="9" xfId="2" applyFont="1" applyBorder="1" applyAlignment="1">
      <alignment vertical="center"/>
    </xf>
    <xf numFmtId="0" fontId="11" fillId="0" borderId="7" xfId="2" applyFont="1" applyBorder="1" applyAlignment="1">
      <alignment horizontal="left" vertical="center" wrapText="1"/>
    </xf>
    <xf numFmtId="0" fontId="11" fillId="0" borderId="8" xfId="2" applyFont="1" applyBorder="1" applyAlignment="1">
      <alignment horizontal="left" vertical="center" wrapText="1"/>
    </xf>
    <xf numFmtId="0" fontId="11" fillId="0" borderId="9" xfId="2" applyFont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1" fillId="0" borderId="22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11" fillId="0" borderId="23" xfId="0" applyFont="1" applyBorder="1" applyAlignment="1">
      <alignment horizontal="center" vertical="top"/>
    </xf>
    <xf numFmtId="0" fontId="11" fillId="0" borderId="22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8" fillId="0" borderId="12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 wrapText="1"/>
    </xf>
    <xf numFmtId="0" fontId="16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left" vertical="top"/>
    </xf>
    <xf numFmtId="0" fontId="11" fillId="0" borderId="8" xfId="0" applyFont="1" applyFill="1" applyBorder="1" applyAlignment="1">
      <alignment horizontal="left" vertical="top"/>
    </xf>
    <xf numFmtId="0" fontId="11" fillId="0" borderId="9" xfId="0" applyFont="1" applyFill="1" applyBorder="1" applyAlignment="1">
      <alignment horizontal="left" vertical="top"/>
    </xf>
    <xf numFmtId="0" fontId="4" fillId="0" borderId="12" xfId="0" applyFont="1" applyFill="1" applyBorder="1" applyAlignment="1">
      <alignment horizontal="center" vertical="top"/>
    </xf>
    <xf numFmtId="0" fontId="22" fillId="0" borderId="2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0" fontId="16" fillId="0" borderId="7" xfId="0" applyFont="1" applyBorder="1" applyAlignment="1">
      <alignment horizontal="center" vertical="top"/>
    </xf>
    <xf numFmtId="0" fontId="16" fillId="0" borderId="8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top"/>
    </xf>
    <xf numFmtId="0" fontId="8" fillId="0" borderId="0" xfId="5" applyFont="1" applyFill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6" fillId="0" borderId="16" xfId="0" applyFont="1" applyBorder="1" applyAlignment="1">
      <alignment horizontal="center" vertical="top"/>
    </xf>
    <xf numFmtId="0" fontId="16" fillId="0" borderId="17" xfId="0" applyFont="1" applyBorder="1" applyAlignment="1">
      <alignment horizontal="center" vertical="top"/>
    </xf>
    <xf numFmtId="0" fontId="16" fillId="0" borderId="18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19" fillId="0" borderId="27" xfId="0" applyFont="1" applyBorder="1" applyAlignment="1">
      <alignment horizontal="left" vertical="top"/>
    </xf>
    <xf numFmtId="0" fontId="19" fillId="0" borderId="19" xfId="0" applyFont="1" applyBorder="1" applyAlignment="1">
      <alignment horizontal="left" vertical="top"/>
    </xf>
    <xf numFmtId="0" fontId="19" fillId="0" borderId="28" xfId="0" applyFont="1" applyBorder="1" applyAlignment="1">
      <alignment horizontal="left" vertical="top"/>
    </xf>
    <xf numFmtId="0" fontId="20" fillId="0" borderId="12" xfId="0" applyFont="1" applyBorder="1" applyAlignment="1">
      <alignment horizontal="center" vertical="top"/>
    </xf>
    <xf numFmtId="0" fontId="17" fillId="0" borderId="7" xfId="0" applyFont="1" applyBorder="1" applyAlignment="1">
      <alignment horizontal="left" vertical="top"/>
    </xf>
    <xf numFmtId="0" fontId="17" fillId="0" borderId="8" xfId="0" applyFont="1" applyBorder="1" applyAlignment="1">
      <alignment horizontal="left" vertical="top"/>
    </xf>
    <xf numFmtId="0" fontId="17" fillId="0" borderId="9" xfId="0" applyFont="1" applyBorder="1" applyAlignment="1">
      <alignment horizontal="left" vertical="top"/>
    </xf>
  </cellXfs>
  <cellStyles count="6">
    <cellStyle name="60% - Accent4" xfId="5" builtinId="44"/>
    <cellStyle name="Comma" xfId="1" builtinId="3"/>
    <cellStyle name="Comma 2" xfId="3" xr:uid="{00000000-0005-0000-0000-000002000000}"/>
    <cellStyle name="Comma 3" xfId="4" xr:uid="{00000000-0005-0000-0000-000003000000}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E431-2BE3-4833-B45F-A43BE73F27EC}">
  <dimension ref="A1:H672"/>
  <sheetViews>
    <sheetView tabSelected="1" view="pageBreakPreview" topLeftCell="A662" zoomScale="86" zoomScaleNormal="70" zoomScaleSheetLayoutView="70" workbookViewId="0">
      <selection activeCell="G672" sqref="G672"/>
    </sheetView>
  </sheetViews>
  <sheetFormatPr defaultColWidth="8.88671875" defaultRowHeight="13.8" x14ac:dyDescent="0.25"/>
  <cols>
    <col min="1" max="3" width="8.88671875" style="1"/>
    <col min="4" max="4" width="16" style="1" customWidth="1"/>
    <col min="5" max="5" width="8.88671875" style="1"/>
    <col min="6" max="6" width="10.77734375" style="1" customWidth="1"/>
    <col min="7" max="7" width="16" style="86" customWidth="1"/>
    <col min="8" max="8" width="26.109375" style="86" customWidth="1"/>
    <col min="9" max="16384" width="8.88671875" style="1"/>
  </cols>
  <sheetData>
    <row r="1" spans="1:8" x14ac:dyDescent="0.25">
      <c r="A1" s="238" t="s">
        <v>324</v>
      </c>
      <c r="B1" s="238"/>
      <c r="C1" s="238"/>
      <c r="D1" s="238"/>
      <c r="E1" s="238"/>
      <c r="F1" s="238"/>
      <c r="G1" s="238"/>
      <c r="H1" s="238"/>
    </row>
    <row r="2" spans="1:8" x14ac:dyDescent="0.25">
      <c r="A2" s="153" t="s">
        <v>0</v>
      </c>
      <c r="B2" s="153"/>
      <c r="C2" s="153"/>
      <c r="D2" s="153"/>
      <c r="E2" s="153"/>
      <c r="F2" s="153"/>
      <c r="G2" s="153"/>
      <c r="H2" s="153"/>
    </row>
    <row r="3" spans="1:8" x14ac:dyDescent="0.25">
      <c r="A3" s="179" t="s">
        <v>1</v>
      </c>
      <c r="B3" s="181"/>
      <c r="C3" s="133" t="s">
        <v>2</v>
      </c>
      <c r="D3" s="135"/>
      <c r="E3" s="12" t="s">
        <v>3</v>
      </c>
      <c r="F3" s="12">
        <v>1</v>
      </c>
      <c r="G3" s="46">
        <v>3000</v>
      </c>
      <c r="H3" s="46">
        <f>PRODUCT(G3,F3)</f>
        <v>3000</v>
      </c>
    </row>
    <row r="4" spans="1:8" x14ac:dyDescent="0.25">
      <c r="A4" s="12"/>
      <c r="B4" s="12"/>
      <c r="C4" s="133" t="s">
        <v>5</v>
      </c>
      <c r="D4" s="135"/>
      <c r="E4" s="12" t="s">
        <v>6</v>
      </c>
      <c r="F4" s="12">
        <v>40</v>
      </c>
      <c r="G4" s="46">
        <v>3000</v>
      </c>
      <c r="H4" s="46">
        <f>PRODUCT(G4,F4)</f>
        <v>120000</v>
      </c>
    </row>
    <row r="5" spans="1:8" x14ac:dyDescent="0.25">
      <c r="A5" s="12" t="s">
        <v>215</v>
      </c>
      <c r="B5" s="12"/>
      <c r="C5" s="133" t="s">
        <v>237</v>
      </c>
      <c r="D5" s="135"/>
      <c r="E5" s="12" t="s">
        <v>14</v>
      </c>
      <c r="F5" s="12">
        <v>2</v>
      </c>
      <c r="G5" s="46">
        <v>550000</v>
      </c>
      <c r="H5" s="46">
        <f>PRODUCT(F5,G5)</f>
        <v>1100000</v>
      </c>
    </row>
    <row r="6" spans="1:8" x14ac:dyDescent="0.25">
      <c r="A6" s="12"/>
      <c r="B6" s="12"/>
      <c r="C6" s="133" t="s">
        <v>7</v>
      </c>
      <c r="D6" s="135"/>
      <c r="E6" s="12" t="s">
        <v>6</v>
      </c>
      <c r="F6" s="12">
        <v>3</v>
      </c>
      <c r="G6" s="46">
        <v>12000</v>
      </c>
      <c r="H6" s="46">
        <f>PRODUCT(G6,F6)</f>
        <v>36000</v>
      </c>
    </row>
    <row r="7" spans="1:8" x14ac:dyDescent="0.25">
      <c r="A7" s="12"/>
      <c r="B7" s="12"/>
      <c r="C7" s="133" t="s">
        <v>8</v>
      </c>
      <c r="D7" s="135"/>
      <c r="E7" s="12" t="s">
        <v>6</v>
      </c>
      <c r="F7" s="12">
        <v>12</v>
      </c>
      <c r="G7" s="46">
        <v>1000</v>
      </c>
      <c r="H7" s="46">
        <f>PRODUCT(G7,F7)</f>
        <v>12000</v>
      </c>
    </row>
    <row r="8" spans="1:8" x14ac:dyDescent="0.25">
      <c r="A8" s="12"/>
      <c r="B8" s="12"/>
      <c r="C8" s="133" t="s">
        <v>9</v>
      </c>
      <c r="D8" s="135"/>
      <c r="E8" s="12" t="s">
        <v>3</v>
      </c>
      <c r="F8" s="12">
        <v>1</v>
      </c>
      <c r="G8" s="46">
        <v>1000</v>
      </c>
      <c r="H8" s="46">
        <f>PRODUCT(G8,F8)</f>
        <v>1000</v>
      </c>
    </row>
    <row r="9" spans="1:8" x14ac:dyDescent="0.25">
      <c r="A9" s="195" t="s">
        <v>216</v>
      </c>
      <c r="B9" s="196"/>
      <c r="C9" s="196"/>
      <c r="D9" s="196"/>
      <c r="E9" s="196"/>
      <c r="F9" s="196"/>
      <c r="G9" s="197"/>
      <c r="H9" s="47">
        <v>300000</v>
      </c>
    </row>
    <row r="10" spans="1:8" x14ac:dyDescent="0.25">
      <c r="A10" s="239" t="s">
        <v>10</v>
      </c>
      <c r="B10" s="239"/>
      <c r="C10" s="239"/>
      <c r="D10" s="239"/>
      <c r="E10" s="239"/>
      <c r="F10" s="239"/>
      <c r="G10" s="239"/>
      <c r="H10" s="48">
        <f>SUM(H3:H9)</f>
        <v>1572000</v>
      </c>
    </row>
    <row r="11" spans="1:8" x14ac:dyDescent="0.25">
      <c r="A11" s="13"/>
      <c r="B11" s="13"/>
      <c r="C11" s="13"/>
      <c r="D11" s="13"/>
      <c r="E11" s="14"/>
      <c r="F11" s="15"/>
      <c r="G11" s="49"/>
      <c r="H11" s="50"/>
    </row>
    <row r="12" spans="1:8" x14ac:dyDescent="0.25">
      <c r="A12" s="153" t="s">
        <v>11</v>
      </c>
      <c r="B12" s="153"/>
      <c r="C12" s="153"/>
      <c r="D12" s="153"/>
      <c r="E12" s="153"/>
      <c r="F12" s="153"/>
      <c r="G12" s="153"/>
      <c r="H12" s="153"/>
    </row>
    <row r="13" spans="1:8" x14ac:dyDescent="0.25">
      <c r="A13" s="133" t="s">
        <v>12</v>
      </c>
      <c r="B13" s="134"/>
      <c r="C13" s="134"/>
      <c r="D13" s="135"/>
      <c r="E13" s="12" t="s">
        <v>6</v>
      </c>
      <c r="F13" s="12">
        <v>10</v>
      </c>
      <c r="G13" s="46">
        <v>10000</v>
      </c>
      <c r="H13" s="46">
        <f>PRODUCT(G13,F13)</f>
        <v>100000</v>
      </c>
    </row>
    <row r="14" spans="1:8" x14ac:dyDescent="0.25">
      <c r="A14" s="133" t="s">
        <v>13</v>
      </c>
      <c r="B14" s="134"/>
      <c r="C14" s="134"/>
      <c r="D14" s="135"/>
      <c r="E14" s="12" t="s">
        <v>14</v>
      </c>
      <c r="F14" s="12">
        <v>29</v>
      </c>
      <c r="G14" s="46">
        <v>60000</v>
      </c>
      <c r="H14" s="46">
        <f>PRODUCT(G14,F14)</f>
        <v>1740000</v>
      </c>
    </row>
    <row r="15" spans="1:8" x14ac:dyDescent="0.25">
      <c r="A15" s="133" t="s">
        <v>15</v>
      </c>
      <c r="B15" s="134"/>
      <c r="C15" s="134"/>
      <c r="D15" s="135"/>
      <c r="E15" s="12" t="s">
        <v>18</v>
      </c>
      <c r="F15" s="12">
        <v>233</v>
      </c>
      <c r="G15" s="46">
        <v>4000</v>
      </c>
      <c r="H15" s="46">
        <f>PRODUCT(G15,F15)</f>
        <v>932000</v>
      </c>
    </row>
    <row r="16" spans="1:8" s="9" customFormat="1" x14ac:dyDescent="0.25">
      <c r="A16" s="195" t="s">
        <v>16</v>
      </c>
      <c r="B16" s="196"/>
      <c r="C16" s="196"/>
      <c r="D16" s="197"/>
      <c r="E16" s="16"/>
      <c r="F16" s="16">
        <f>F15</f>
        <v>233</v>
      </c>
      <c r="G16" s="47">
        <v>10000</v>
      </c>
      <c r="H16" s="47">
        <f>PRODUCT(G16,F16)</f>
        <v>2330000</v>
      </c>
    </row>
    <row r="17" spans="1:8" x14ac:dyDescent="0.25">
      <c r="A17" s="239" t="s">
        <v>10</v>
      </c>
      <c r="B17" s="239"/>
      <c r="C17" s="239"/>
      <c r="D17" s="239"/>
      <c r="E17" s="239"/>
      <c r="F17" s="239"/>
      <c r="G17" s="239"/>
      <c r="H17" s="48">
        <f>SUM(H13:H16)</f>
        <v>5102000</v>
      </c>
    </row>
    <row r="18" spans="1:8" x14ac:dyDescent="0.25">
      <c r="A18" s="114"/>
      <c r="B18" s="114"/>
      <c r="C18" s="114"/>
      <c r="D18" s="114"/>
      <c r="E18" s="114"/>
      <c r="F18" s="114"/>
      <c r="G18" s="114"/>
      <c r="H18" s="115"/>
    </row>
    <row r="19" spans="1:8" customFormat="1" ht="14.4" x14ac:dyDescent="0.3">
      <c r="A19" s="230" t="s">
        <v>274</v>
      </c>
      <c r="B19" s="230"/>
      <c r="C19" s="230"/>
      <c r="D19" s="230"/>
      <c r="E19" s="230"/>
      <c r="F19" s="230"/>
      <c r="G19" s="230"/>
      <c r="H19" s="230"/>
    </row>
    <row r="20" spans="1:8" customFormat="1" ht="14.4" x14ac:dyDescent="0.3">
      <c r="A20" s="192" t="s">
        <v>273</v>
      </c>
      <c r="B20" s="193"/>
      <c r="C20" s="193"/>
      <c r="D20" s="194"/>
      <c r="E20" s="2" t="s">
        <v>18</v>
      </c>
      <c r="F20" s="2">
        <v>10.4</v>
      </c>
      <c r="G20" s="3">
        <v>253000</v>
      </c>
      <c r="H20" s="3">
        <f>PRODUCT(G20,F20)</f>
        <v>2631200</v>
      </c>
    </row>
    <row r="21" spans="1:8" customFormat="1" ht="15" thickBot="1" x14ac:dyDescent="0.35">
      <c r="A21" s="158" t="s">
        <v>22</v>
      </c>
      <c r="B21" s="159"/>
      <c r="C21" s="159"/>
      <c r="D21" s="159"/>
      <c r="E21" s="160"/>
      <c r="F21" s="111">
        <f>F20</f>
        <v>10.4</v>
      </c>
      <c r="G21" s="112">
        <v>50000</v>
      </c>
      <c r="H21" s="3">
        <f>PRODUCT(G21,F21)</f>
        <v>520000</v>
      </c>
    </row>
    <row r="22" spans="1:8" customFormat="1" ht="15" thickBot="1" x14ac:dyDescent="0.35">
      <c r="A22" s="231" t="s">
        <v>10</v>
      </c>
      <c r="B22" s="232"/>
      <c r="C22" s="232"/>
      <c r="D22" s="232"/>
      <c r="E22" s="232"/>
      <c r="F22" s="232"/>
      <c r="G22" s="232"/>
      <c r="H22" s="113">
        <f>SUM(H20:H21)</f>
        <v>3151200</v>
      </c>
    </row>
    <row r="23" spans="1:8" x14ac:dyDescent="0.25">
      <c r="A23" s="17"/>
      <c r="B23" s="17"/>
      <c r="C23" s="17"/>
      <c r="D23" s="18"/>
      <c r="E23" s="18"/>
      <c r="F23" s="18"/>
      <c r="G23" s="51"/>
      <c r="H23" s="49"/>
    </row>
    <row r="24" spans="1:8" x14ac:dyDescent="0.25">
      <c r="A24" s="204" t="s">
        <v>192</v>
      </c>
      <c r="B24" s="204"/>
      <c r="C24" s="204"/>
      <c r="D24" s="204"/>
      <c r="E24" s="204"/>
      <c r="F24" s="204"/>
      <c r="G24" s="204"/>
      <c r="H24" s="204"/>
    </row>
    <row r="25" spans="1:8" x14ac:dyDescent="0.25">
      <c r="A25" s="133" t="s">
        <v>193</v>
      </c>
      <c r="B25" s="134"/>
      <c r="C25" s="134"/>
      <c r="D25" s="135"/>
      <c r="E25" s="12" t="s">
        <v>18</v>
      </c>
      <c r="F25" s="12">
        <v>42.2</v>
      </c>
      <c r="G25" s="46">
        <v>253000</v>
      </c>
      <c r="H25" s="46">
        <f>PRODUCT(G25,F25)</f>
        <v>10676600</v>
      </c>
    </row>
    <row r="26" spans="1:8" x14ac:dyDescent="0.25">
      <c r="A26" s="133" t="s">
        <v>24</v>
      </c>
      <c r="B26" s="134"/>
      <c r="C26" s="134"/>
      <c r="D26" s="135"/>
      <c r="E26" s="16"/>
      <c r="F26" s="16">
        <f>F25</f>
        <v>42.2</v>
      </c>
      <c r="G26" s="47">
        <v>50000</v>
      </c>
      <c r="H26" s="46">
        <f>PRODUCT(G26,F26)</f>
        <v>2110000</v>
      </c>
    </row>
    <row r="27" spans="1:8" ht="14.4" customHeight="1" x14ac:dyDescent="0.25">
      <c r="A27" s="133" t="s">
        <v>31</v>
      </c>
      <c r="B27" s="134"/>
      <c r="C27" s="135"/>
      <c r="D27" s="16" t="s">
        <v>275</v>
      </c>
      <c r="E27" s="16" t="s">
        <v>6</v>
      </c>
      <c r="F27" s="16">
        <v>126</v>
      </c>
      <c r="G27" s="47">
        <v>40000</v>
      </c>
      <c r="H27" s="46">
        <f t="shared" ref="H27:H30" si="0">PRODUCT(G27,F27)</f>
        <v>5040000</v>
      </c>
    </row>
    <row r="28" spans="1:8" x14ac:dyDescent="0.25">
      <c r="A28" s="16"/>
      <c r="B28" s="16"/>
      <c r="C28" s="16"/>
      <c r="D28" s="16" t="s">
        <v>23</v>
      </c>
      <c r="E28" s="16" t="s">
        <v>6</v>
      </c>
      <c r="F28" s="16">
        <v>146</v>
      </c>
      <c r="G28" s="47">
        <v>13000</v>
      </c>
      <c r="H28" s="46">
        <f t="shared" si="0"/>
        <v>1898000</v>
      </c>
    </row>
    <row r="29" spans="1:8" x14ac:dyDescent="0.25">
      <c r="A29" s="133" t="s">
        <v>24</v>
      </c>
      <c r="B29" s="134"/>
      <c r="C29" s="134"/>
      <c r="D29" s="135"/>
      <c r="E29" s="16"/>
      <c r="F29" s="16">
        <f>F27+F28</f>
        <v>272</v>
      </c>
      <c r="G29" s="47">
        <v>8500</v>
      </c>
      <c r="H29" s="46">
        <f t="shared" si="0"/>
        <v>2312000</v>
      </c>
    </row>
    <row r="30" spans="1:8" x14ac:dyDescent="0.25">
      <c r="A30" s="133" t="s">
        <v>233</v>
      </c>
      <c r="B30" s="134"/>
      <c r="C30" s="134"/>
      <c r="D30" s="135"/>
      <c r="E30" s="16" t="s">
        <v>6</v>
      </c>
      <c r="F30" s="16">
        <v>216</v>
      </c>
      <c r="G30" s="47">
        <v>4500</v>
      </c>
      <c r="H30" s="46">
        <f t="shared" si="0"/>
        <v>972000</v>
      </c>
    </row>
    <row r="31" spans="1:8" x14ac:dyDescent="0.25">
      <c r="A31" s="133" t="s">
        <v>24</v>
      </c>
      <c r="B31" s="134"/>
      <c r="C31" s="134"/>
      <c r="D31" s="135"/>
      <c r="E31" s="16" t="s">
        <v>231</v>
      </c>
      <c r="F31" s="16">
        <v>116</v>
      </c>
      <c r="G31" s="47">
        <v>10000</v>
      </c>
      <c r="H31" s="47">
        <f>F31*G31</f>
        <v>1160000</v>
      </c>
    </row>
    <row r="32" spans="1:8" x14ac:dyDescent="0.25">
      <c r="A32" s="133" t="s">
        <v>168</v>
      </c>
      <c r="B32" s="134"/>
      <c r="C32" s="134"/>
      <c r="D32" s="135"/>
      <c r="E32" s="16" t="s">
        <v>4</v>
      </c>
      <c r="F32" s="16">
        <v>7</v>
      </c>
      <c r="G32" s="47">
        <v>10000</v>
      </c>
      <c r="H32" s="47">
        <f>F32*G32</f>
        <v>70000</v>
      </c>
    </row>
    <row r="33" spans="1:8" x14ac:dyDescent="0.25">
      <c r="A33" s="195" t="s">
        <v>169</v>
      </c>
      <c r="B33" s="196"/>
      <c r="C33" s="196"/>
      <c r="D33" s="197"/>
      <c r="E33" s="16" t="s">
        <v>231</v>
      </c>
      <c r="F33" s="16">
        <f>F31</f>
        <v>116</v>
      </c>
      <c r="G33" s="47">
        <v>5000</v>
      </c>
      <c r="H33" s="47">
        <f>F33*G33</f>
        <v>580000</v>
      </c>
    </row>
    <row r="34" spans="1:8" x14ac:dyDescent="0.25">
      <c r="A34" s="239" t="s">
        <v>10</v>
      </c>
      <c r="B34" s="239"/>
      <c r="C34" s="239"/>
      <c r="D34" s="239"/>
      <c r="E34" s="239"/>
      <c r="F34" s="239"/>
      <c r="G34" s="239"/>
      <c r="H34" s="48">
        <f>SUM(H25:H33)</f>
        <v>24818600</v>
      </c>
    </row>
    <row r="35" spans="1:8" x14ac:dyDescent="0.25">
      <c r="A35" s="17"/>
      <c r="B35" s="17"/>
      <c r="C35" s="17"/>
      <c r="D35" s="17"/>
      <c r="E35" s="17"/>
      <c r="F35" s="17"/>
      <c r="G35" s="49"/>
      <c r="H35" s="49"/>
    </row>
    <row r="36" spans="1:8" x14ac:dyDescent="0.25">
      <c r="A36" s="153" t="s">
        <v>25</v>
      </c>
      <c r="B36" s="153"/>
      <c r="C36" s="153"/>
      <c r="D36" s="153"/>
      <c r="E36" s="153"/>
      <c r="F36" s="153"/>
      <c r="G36" s="153"/>
      <c r="H36" s="153"/>
    </row>
    <row r="37" spans="1:8" x14ac:dyDescent="0.25">
      <c r="A37" s="133" t="s">
        <v>167</v>
      </c>
      <c r="B37" s="134"/>
      <c r="C37" s="134"/>
      <c r="D37" s="135"/>
      <c r="E37" s="12" t="s">
        <v>14</v>
      </c>
      <c r="F37" s="12">
        <v>4115</v>
      </c>
      <c r="G37" s="46">
        <v>1500</v>
      </c>
      <c r="H37" s="46">
        <f>PRODUCT(G37,F37)</f>
        <v>6172500</v>
      </c>
    </row>
    <row r="38" spans="1:8" x14ac:dyDescent="0.25">
      <c r="A38" s="133" t="s">
        <v>19</v>
      </c>
      <c r="B38" s="134"/>
      <c r="C38" s="134"/>
      <c r="D38" s="135"/>
      <c r="E38" s="12" t="s">
        <v>18</v>
      </c>
      <c r="F38" s="12">
        <v>23</v>
      </c>
      <c r="G38" s="46">
        <v>22500</v>
      </c>
      <c r="H38" s="46">
        <f>PRODUCT(G38,F38)</f>
        <v>517500</v>
      </c>
    </row>
    <row r="39" spans="1:8" x14ac:dyDescent="0.25">
      <c r="A39" s="133" t="s">
        <v>20</v>
      </c>
      <c r="B39" s="134"/>
      <c r="C39" s="134"/>
      <c r="D39" s="135"/>
      <c r="E39" s="12" t="s">
        <v>21</v>
      </c>
      <c r="F39" s="12">
        <v>85</v>
      </c>
      <c r="G39" s="46">
        <v>17500</v>
      </c>
      <c r="H39" s="46">
        <f>PRODUCT(G39,F39)</f>
        <v>1487500</v>
      </c>
    </row>
    <row r="40" spans="1:8" s="9" customFormat="1" x14ac:dyDescent="0.25">
      <c r="A40" s="195" t="s">
        <v>22</v>
      </c>
      <c r="B40" s="196"/>
      <c r="C40" s="196"/>
      <c r="D40" s="197"/>
      <c r="E40" s="16"/>
      <c r="F40" s="16">
        <f>F37</f>
        <v>4115</v>
      </c>
      <c r="G40" s="47">
        <v>800</v>
      </c>
      <c r="H40" s="47">
        <f>PRODUCT(G40,F40)</f>
        <v>3292000</v>
      </c>
    </row>
    <row r="41" spans="1:8" x14ac:dyDescent="0.25">
      <c r="A41" s="239" t="s">
        <v>10</v>
      </c>
      <c r="B41" s="239"/>
      <c r="C41" s="239"/>
      <c r="D41" s="239"/>
      <c r="E41" s="239"/>
      <c r="F41" s="239"/>
      <c r="G41" s="239"/>
      <c r="H41" s="48">
        <f>SUM(H37:H40)</f>
        <v>11469500</v>
      </c>
    </row>
    <row r="42" spans="1:8" x14ac:dyDescent="0.25">
      <c r="A42" s="19"/>
      <c r="B42" s="19"/>
      <c r="C42" s="19"/>
      <c r="D42" s="20"/>
      <c r="E42" s="21"/>
      <c r="F42" s="21"/>
      <c r="G42" s="52"/>
      <c r="H42" s="52"/>
    </row>
    <row r="43" spans="1:8" x14ac:dyDescent="0.25">
      <c r="A43" s="153" t="s">
        <v>27</v>
      </c>
      <c r="B43" s="153"/>
      <c r="C43" s="153"/>
      <c r="D43" s="153"/>
      <c r="E43" s="153"/>
      <c r="F43" s="153"/>
      <c r="G43" s="153"/>
      <c r="H43" s="153"/>
    </row>
    <row r="44" spans="1:8" x14ac:dyDescent="0.25">
      <c r="A44" s="133" t="s">
        <v>28</v>
      </c>
      <c r="B44" s="134"/>
      <c r="C44" s="134"/>
      <c r="D44" s="135"/>
      <c r="E44" s="12" t="s">
        <v>18</v>
      </c>
      <c r="F44" s="12">
        <v>51.5</v>
      </c>
      <c r="G44" s="46">
        <v>33000</v>
      </c>
      <c r="H44" s="46">
        <f>PRODUCT(G44,F44)</f>
        <v>1699500</v>
      </c>
    </row>
    <row r="45" spans="1:8" x14ac:dyDescent="0.25">
      <c r="A45" s="133" t="s">
        <v>29</v>
      </c>
      <c r="B45" s="134"/>
      <c r="C45" s="134"/>
      <c r="D45" s="135"/>
      <c r="E45" s="12" t="s">
        <v>18</v>
      </c>
      <c r="F45" s="12">
        <v>181.5</v>
      </c>
      <c r="G45" s="46">
        <v>25000</v>
      </c>
      <c r="H45" s="46">
        <f>PRODUCT(G45,F45)</f>
        <v>4537500</v>
      </c>
    </row>
    <row r="46" spans="1:8" s="9" customFormat="1" x14ac:dyDescent="0.25">
      <c r="A46" s="195" t="s">
        <v>24</v>
      </c>
      <c r="B46" s="196"/>
      <c r="C46" s="196"/>
      <c r="D46" s="197"/>
      <c r="E46" s="16"/>
      <c r="F46" s="16"/>
      <c r="G46" s="47"/>
      <c r="H46" s="47">
        <v>2500000</v>
      </c>
    </row>
    <row r="47" spans="1:8" x14ac:dyDescent="0.25">
      <c r="A47" s="182" t="s">
        <v>10</v>
      </c>
      <c r="B47" s="182"/>
      <c r="C47" s="182"/>
      <c r="D47" s="182"/>
      <c r="E47" s="182"/>
      <c r="F47" s="182"/>
      <c r="G47" s="182"/>
      <c r="H47" s="53">
        <f>SUM(H44:H46)</f>
        <v>8737000</v>
      </c>
    </row>
    <row r="48" spans="1:8" x14ac:dyDescent="0.25">
      <c r="A48" s="13"/>
      <c r="B48" s="13"/>
      <c r="C48" s="13"/>
      <c r="D48" s="13"/>
      <c r="E48" s="13"/>
      <c r="F48" s="13"/>
      <c r="G48" s="49"/>
      <c r="H48" s="49"/>
    </row>
    <row r="49" spans="1:8" x14ac:dyDescent="0.25">
      <c r="A49" s="153" t="s">
        <v>194</v>
      </c>
      <c r="B49" s="153"/>
      <c r="C49" s="153"/>
      <c r="D49" s="153"/>
      <c r="E49" s="153"/>
      <c r="F49" s="153"/>
      <c r="G49" s="153"/>
      <c r="H49" s="153"/>
    </row>
    <row r="50" spans="1:8" ht="14.4" customHeight="1" x14ac:dyDescent="0.25">
      <c r="A50" s="133" t="s">
        <v>2</v>
      </c>
      <c r="B50" s="134"/>
      <c r="C50" s="134"/>
      <c r="D50" s="135"/>
      <c r="E50" s="12" t="s">
        <v>3</v>
      </c>
      <c r="F50" s="12">
        <v>45</v>
      </c>
      <c r="G50" s="46">
        <v>3000</v>
      </c>
      <c r="H50" s="46">
        <f t="shared" ref="H50:H59" si="1">PRODUCT(G50,F50)</f>
        <v>135000</v>
      </c>
    </row>
    <row r="51" spans="1:8" x14ac:dyDescent="0.25">
      <c r="A51" s="133" t="s">
        <v>233</v>
      </c>
      <c r="B51" s="134"/>
      <c r="C51" s="134"/>
      <c r="D51" s="135"/>
      <c r="E51" s="16" t="s">
        <v>6</v>
      </c>
      <c r="F51" s="16">
        <v>529</v>
      </c>
      <c r="G51" s="47">
        <v>4500</v>
      </c>
      <c r="H51" s="46">
        <f t="shared" si="1"/>
        <v>2380500</v>
      </c>
    </row>
    <row r="52" spans="1:8" x14ac:dyDescent="0.25">
      <c r="A52" s="133" t="s">
        <v>16</v>
      </c>
      <c r="B52" s="134"/>
      <c r="C52" s="134"/>
      <c r="D52" s="135"/>
      <c r="E52" s="12" t="s">
        <v>231</v>
      </c>
      <c r="F52" s="12">
        <v>403</v>
      </c>
      <c r="G52" s="46">
        <v>10000</v>
      </c>
      <c r="H52" s="46">
        <f t="shared" si="1"/>
        <v>4030000</v>
      </c>
    </row>
    <row r="53" spans="1:8" x14ac:dyDescent="0.25">
      <c r="A53" s="195" t="s">
        <v>31</v>
      </c>
      <c r="B53" s="196"/>
      <c r="C53" s="197"/>
      <c r="D53" s="12" t="s">
        <v>285</v>
      </c>
      <c r="E53" s="12" t="s">
        <v>245</v>
      </c>
      <c r="F53" s="12">
        <v>98</v>
      </c>
      <c r="G53" s="46">
        <v>23000</v>
      </c>
      <c r="H53" s="46">
        <f t="shared" si="1"/>
        <v>2254000</v>
      </c>
    </row>
    <row r="54" spans="1:8" x14ac:dyDescent="0.25">
      <c r="A54" s="213"/>
      <c r="B54" s="214"/>
      <c r="C54" s="215"/>
      <c r="D54" s="12" t="s">
        <v>32</v>
      </c>
      <c r="E54" s="12" t="s">
        <v>245</v>
      </c>
      <c r="F54" s="12">
        <v>72</v>
      </c>
      <c r="G54" s="46">
        <v>13000</v>
      </c>
      <c r="H54" s="46">
        <f t="shared" si="1"/>
        <v>936000</v>
      </c>
    </row>
    <row r="55" spans="1:8" x14ac:dyDescent="0.25">
      <c r="A55" s="133" t="s">
        <v>16</v>
      </c>
      <c r="B55" s="134"/>
      <c r="C55" s="134"/>
      <c r="D55" s="135"/>
      <c r="E55" s="12"/>
      <c r="F55" s="12">
        <f>F54+F53</f>
        <v>170</v>
      </c>
      <c r="G55" s="46">
        <v>8500</v>
      </c>
      <c r="H55" s="46">
        <f t="shared" si="1"/>
        <v>1445000</v>
      </c>
    </row>
    <row r="56" spans="1:8" x14ac:dyDescent="0.25">
      <c r="A56" s="220" t="s">
        <v>193</v>
      </c>
      <c r="B56" s="221"/>
      <c r="C56" s="221"/>
      <c r="D56" s="222"/>
      <c r="E56" s="22" t="s">
        <v>18</v>
      </c>
      <c r="F56" s="22">
        <v>45</v>
      </c>
      <c r="G56" s="54">
        <v>253000</v>
      </c>
      <c r="H56" s="46">
        <f t="shared" si="1"/>
        <v>11385000</v>
      </c>
    </row>
    <row r="57" spans="1:8" s="4" customFormat="1" x14ac:dyDescent="0.25">
      <c r="A57" s="227" t="s">
        <v>195</v>
      </c>
      <c r="B57" s="228"/>
      <c r="C57" s="228"/>
      <c r="D57" s="229"/>
      <c r="E57" s="23" t="s">
        <v>244</v>
      </c>
      <c r="F57" s="23">
        <v>6.5</v>
      </c>
      <c r="G57" s="55">
        <v>100000</v>
      </c>
      <c r="H57" s="55">
        <f t="shared" si="1"/>
        <v>650000</v>
      </c>
    </row>
    <row r="58" spans="1:8" s="4" customFormat="1" x14ac:dyDescent="0.25">
      <c r="A58" s="227" t="s">
        <v>271</v>
      </c>
      <c r="B58" s="228"/>
      <c r="C58" s="228"/>
      <c r="D58" s="229"/>
      <c r="E58" s="24" t="s">
        <v>244</v>
      </c>
      <c r="F58" s="24">
        <v>1.5</v>
      </c>
      <c r="G58" s="56">
        <v>100000</v>
      </c>
      <c r="H58" s="55">
        <f t="shared" si="1"/>
        <v>150000</v>
      </c>
    </row>
    <row r="59" spans="1:8" s="9" customFormat="1" x14ac:dyDescent="0.25">
      <c r="A59" s="195" t="s">
        <v>16</v>
      </c>
      <c r="B59" s="196"/>
      <c r="C59" s="196"/>
      <c r="D59" s="197"/>
      <c r="E59" s="16"/>
      <c r="F59" s="16">
        <f>F56</f>
        <v>45</v>
      </c>
      <c r="G59" s="47">
        <v>50000</v>
      </c>
      <c r="H59" s="47">
        <f t="shared" si="1"/>
        <v>2250000</v>
      </c>
    </row>
    <row r="60" spans="1:8" x14ac:dyDescent="0.25">
      <c r="A60" s="182" t="s">
        <v>10</v>
      </c>
      <c r="B60" s="182"/>
      <c r="C60" s="182"/>
      <c r="D60" s="182"/>
      <c r="E60" s="182"/>
      <c r="F60" s="182"/>
      <c r="G60" s="182"/>
      <c r="H60" s="53">
        <f>SUM(H50:H59)</f>
        <v>25615500</v>
      </c>
    </row>
    <row r="61" spans="1:8" x14ac:dyDescent="0.25">
      <c r="A61" s="25"/>
      <c r="B61" s="25"/>
      <c r="C61" s="25"/>
      <c r="D61" s="25"/>
      <c r="E61" s="25"/>
      <c r="F61" s="25"/>
      <c r="G61" s="57"/>
      <c r="H61" s="57"/>
    </row>
    <row r="62" spans="1:8" x14ac:dyDescent="0.25">
      <c r="A62" s="240" t="s">
        <v>203</v>
      </c>
      <c r="B62" s="240"/>
      <c r="C62" s="240"/>
      <c r="D62" s="240"/>
      <c r="E62" s="240"/>
      <c r="F62" s="240"/>
      <c r="G62" s="240"/>
      <c r="H62" s="57">
        <f>SUM(H60,H47,H41,H34,H22,H17,H10)</f>
        <v>80465800</v>
      </c>
    </row>
    <row r="63" spans="1:8" x14ac:dyDescent="0.25">
      <c r="A63" s="25"/>
      <c r="B63" s="25"/>
      <c r="C63" s="25"/>
      <c r="D63" s="25"/>
      <c r="E63" s="25"/>
      <c r="F63" s="25"/>
      <c r="G63" s="57"/>
      <c r="H63" s="57"/>
    </row>
    <row r="64" spans="1:8" x14ac:dyDescent="0.25">
      <c r="A64" s="153" t="s">
        <v>246</v>
      </c>
      <c r="B64" s="153"/>
      <c r="C64" s="153"/>
      <c r="D64" s="153"/>
      <c r="E64" s="153"/>
      <c r="F64" s="153"/>
      <c r="G64" s="153"/>
      <c r="H64" s="153"/>
    </row>
    <row r="65" spans="1:8" x14ac:dyDescent="0.25">
      <c r="A65" s="133" t="s">
        <v>34</v>
      </c>
      <c r="B65" s="134"/>
      <c r="C65" s="134"/>
      <c r="D65" s="135"/>
      <c r="E65" s="12" t="s">
        <v>26</v>
      </c>
      <c r="F65" s="12">
        <v>4485</v>
      </c>
      <c r="G65" s="46">
        <v>1500</v>
      </c>
      <c r="H65" s="46">
        <f>PRODUCT(G65,F65)</f>
        <v>6727500</v>
      </c>
    </row>
    <row r="66" spans="1:8" x14ac:dyDescent="0.25">
      <c r="A66" s="133" t="s">
        <v>20</v>
      </c>
      <c r="B66" s="134"/>
      <c r="C66" s="134"/>
      <c r="D66" s="135"/>
      <c r="E66" s="12" t="s">
        <v>26</v>
      </c>
      <c r="F66" s="12">
        <v>94</v>
      </c>
      <c r="G66" s="46">
        <v>17500</v>
      </c>
      <c r="H66" s="46">
        <f>PRODUCT(G66,F66)</f>
        <v>1645000</v>
      </c>
    </row>
    <row r="67" spans="1:8" x14ac:dyDescent="0.25">
      <c r="A67" s="133" t="s">
        <v>19</v>
      </c>
      <c r="B67" s="134"/>
      <c r="C67" s="134"/>
      <c r="D67" s="135"/>
      <c r="E67" s="12" t="s">
        <v>18</v>
      </c>
      <c r="F67" s="12">
        <v>25</v>
      </c>
      <c r="G67" s="46">
        <v>22500</v>
      </c>
      <c r="H67" s="46">
        <f>PRODUCT(G67,F67)</f>
        <v>562500</v>
      </c>
    </row>
    <row r="68" spans="1:8" s="9" customFormat="1" x14ac:dyDescent="0.25">
      <c r="A68" s="195" t="s">
        <v>22</v>
      </c>
      <c r="B68" s="196"/>
      <c r="C68" s="196"/>
      <c r="D68" s="197"/>
      <c r="E68" s="16"/>
      <c r="F68" s="16">
        <f>F65</f>
        <v>4485</v>
      </c>
      <c r="G68" s="47">
        <v>800</v>
      </c>
      <c r="H68" s="47">
        <f>F68*G68</f>
        <v>3588000</v>
      </c>
    </row>
    <row r="69" spans="1:8" x14ac:dyDescent="0.25">
      <c r="A69" s="182" t="s">
        <v>10</v>
      </c>
      <c r="B69" s="182"/>
      <c r="C69" s="182"/>
      <c r="D69" s="182"/>
      <c r="E69" s="182"/>
      <c r="F69" s="182"/>
      <c r="G69" s="182"/>
      <c r="H69" s="53">
        <f>SUM(H65:H68)</f>
        <v>12523000</v>
      </c>
    </row>
    <row r="70" spans="1:8" x14ac:dyDescent="0.25">
      <c r="A70" s="17"/>
      <c r="B70" s="17"/>
      <c r="C70" s="17"/>
      <c r="D70" s="17"/>
      <c r="E70" s="17"/>
      <c r="F70" s="17"/>
      <c r="G70" s="49"/>
      <c r="H70" s="49"/>
    </row>
    <row r="71" spans="1:8" x14ac:dyDescent="0.25">
      <c r="A71" s="26"/>
      <c r="B71" s="26"/>
      <c r="C71" s="26"/>
      <c r="D71" s="26"/>
      <c r="E71" s="25"/>
      <c r="F71" s="21"/>
      <c r="G71" s="52"/>
      <c r="H71" s="57"/>
    </row>
    <row r="72" spans="1:8" x14ac:dyDescent="0.25">
      <c r="A72" s="153" t="s">
        <v>247</v>
      </c>
      <c r="B72" s="153"/>
      <c r="C72" s="153"/>
      <c r="D72" s="153"/>
      <c r="E72" s="153"/>
      <c r="F72" s="153"/>
      <c r="G72" s="153"/>
      <c r="H72" s="153"/>
    </row>
    <row r="73" spans="1:8" x14ac:dyDescent="0.25">
      <c r="A73" s="220" t="s">
        <v>193</v>
      </c>
      <c r="B73" s="221"/>
      <c r="C73" s="221"/>
      <c r="D73" s="222"/>
      <c r="E73" s="22" t="s">
        <v>18</v>
      </c>
      <c r="F73" s="22">
        <v>6.1</v>
      </c>
      <c r="G73" s="54">
        <v>253000</v>
      </c>
      <c r="H73" s="46">
        <f t="shared" ref="H73:H80" si="2">PRODUCT(G73,F73)</f>
        <v>1543300</v>
      </c>
    </row>
    <row r="74" spans="1:8" x14ac:dyDescent="0.25">
      <c r="A74" s="133" t="s">
        <v>22</v>
      </c>
      <c r="B74" s="134"/>
      <c r="C74" s="134"/>
      <c r="D74" s="135"/>
      <c r="E74" s="12"/>
      <c r="F74" s="12">
        <f>F73</f>
        <v>6.1</v>
      </c>
      <c r="G74" s="46">
        <v>80000</v>
      </c>
      <c r="H74" s="46">
        <f t="shared" si="2"/>
        <v>488000</v>
      </c>
    </row>
    <row r="75" spans="1:8" x14ac:dyDescent="0.25">
      <c r="A75" s="195" t="s">
        <v>31</v>
      </c>
      <c r="B75" s="196"/>
      <c r="C75" s="197"/>
      <c r="D75" s="12" t="s">
        <v>276</v>
      </c>
      <c r="E75" s="12" t="s">
        <v>6</v>
      </c>
      <c r="F75" s="12">
        <v>43</v>
      </c>
      <c r="G75" s="46">
        <v>40000</v>
      </c>
      <c r="H75" s="46">
        <f t="shared" si="2"/>
        <v>1720000</v>
      </c>
    </row>
    <row r="76" spans="1:8" x14ac:dyDescent="0.25">
      <c r="A76" s="213"/>
      <c r="B76" s="214"/>
      <c r="C76" s="215"/>
      <c r="D76" s="12" t="s">
        <v>32</v>
      </c>
      <c r="E76" s="12" t="s">
        <v>6</v>
      </c>
      <c r="F76" s="12">
        <v>42</v>
      </c>
      <c r="G76" s="46">
        <v>13000</v>
      </c>
      <c r="H76" s="46">
        <f t="shared" si="2"/>
        <v>546000</v>
      </c>
    </row>
    <row r="77" spans="1:8" x14ac:dyDescent="0.25">
      <c r="A77" s="133" t="s">
        <v>22</v>
      </c>
      <c r="B77" s="134"/>
      <c r="C77" s="134"/>
      <c r="D77" s="135"/>
      <c r="E77" s="12"/>
      <c r="F77" s="12">
        <f>F75+F76</f>
        <v>85</v>
      </c>
      <c r="G77" s="46">
        <v>9500</v>
      </c>
      <c r="H77" s="46">
        <f t="shared" si="2"/>
        <v>807500</v>
      </c>
    </row>
    <row r="78" spans="1:8" x14ac:dyDescent="0.25">
      <c r="A78" s="133" t="s">
        <v>22</v>
      </c>
      <c r="B78" s="134"/>
      <c r="C78" s="135"/>
      <c r="D78" s="12" t="s">
        <v>217</v>
      </c>
      <c r="E78" s="12" t="s">
        <v>231</v>
      </c>
      <c r="F78" s="12">
        <v>109</v>
      </c>
      <c r="G78" s="46">
        <v>10000</v>
      </c>
      <c r="H78" s="46">
        <f t="shared" si="2"/>
        <v>1090000</v>
      </c>
    </row>
    <row r="79" spans="1:8" x14ac:dyDescent="0.25">
      <c r="A79" s="133" t="s">
        <v>2</v>
      </c>
      <c r="B79" s="134"/>
      <c r="C79" s="134"/>
      <c r="D79" s="135"/>
      <c r="E79" s="12" t="s">
        <v>3</v>
      </c>
      <c r="F79" s="12">
        <v>65</v>
      </c>
      <c r="G79" s="46">
        <v>3000</v>
      </c>
      <c r="H79" s="46">
        <f t="shared" si="2"/>
        <v>195000</v>
      </c>
    </row>
    <row r="80" spans="1:8" s="9" customFormat="1" x14ac:dyDescent="0.25">
      <c r="A80" s="195" t="s">
        <v>169</v>
      </c>
      <c r="B80" s="196"/>
      <c r="C80" s="196"/>
      <c r="D80" s="197"/>
      <c r="E80" s="16" t="s">
        <v>231</v>
      </c>
      <c r="F80" s="16">
        <f>F78</f>
        <v>109</v>
      </c>
      <c r="G80" s="47">
        <v>5000</v>
      </c>
      <c r="H80" s="47">
        <f t="shared" si="2"/>
        <v>545000</v>
      </c>
    </row>
    <row r="81" spans="1:8" x14ac:dyDescent="0.25">
      <c r="A81" s="182" t="s">
        <v>10</v>
      </c>
      <c r="B81" s="182"/>
      <c r="C81" s="182"/>
      <c r="D81" s="182"/>
      <c r="E81" s="182"/>
      <c r="F81" s="182"/>
      <c r="G81" s="182"/>
      <c r="H81" s="53">
        <f>SUM(H73:H80)</f>
        <v>6934800</v>
      </c>
    </row>
    <row r="82" spans="1:8" x14ac:dyDescent="0.25">
      <c r="A82" s="26"/>
      <c r="B82" s="26"/>
      <c r="C82" s="26"/>
      <c r="D82" s="26"/>
      <c r="E82" s="25"/>
      <c r="F82" s="21"/>
      <c r="G82" s="52"/>
      <c r="H82" s="57"/>
    </row>
    <row r="83" spans="1:8" x14ac:dyDescent="0.25">
      <c r="A83" s="224" t="s">
        <v>248</v>
      </c>
      <c r="B83" s="224"/>
      <c r="C83" s="224"/>
      <c r="D83" s="224"/>
      <c r="E83" s="224"/>
      <c r="F83" s="224"/>
      <c r="G83" s="224"/>
      <c r="H83" s="224"/>
    </row>
    <row r="84" spans="1:8" x14ac:dyDescent="0.25">
      <c r="A84" s="195" t="s">
        <v>35</v>
      </c>
      <c r="B84" s="196"/>
      <c r="C84" s="197"/>
      <c r="D84" s="12" t="s">
        <v>36</v>
      </c>
      <c r="E84" s="12" t="s">
        <v>3</v>
      </c>
      <c r="F84" s="12">
        <v>15</v>
      </c>
      <c r="G84" s="46">
        <v>3000</v>
      </c>
      <c r="H84" s="46">
        <f t="shared" ref="H84:H90" si="3">PRODUCT(G84,F84)</f>
        <v>45000</v>
      </c>
    </row>
    <row r="85" spans="1:8" x14ac:dyDescent="0.25">
      <c r="A85" s="213"/>
      <c r="B85" s="214"/>
      <c r="C85" s="215"/>
      <c r="D85" s="12" t="s">
        <v>37</v>
      </c>
      <c r="E85" s="12" t="s">
        <v>3</v>
      </c>
      <c r="F85" s="12">
        <v>15</v>
      </c>
      <c r="G85" s="46">
        <v>3000</v>
      </c>
      <c r="H85" s="46">
        <f t="shared" si="3"/>
        <v>45000</v>
      </c>
    </row>
    <row r="86" spans="1:8" x14ac:dyDescent="0.25">
      <c r="A86" s="133" t="s">
        <v>218</v>
      </c>
      <c r="B86" s="134"/>
      <c r="C86" s="134"/>
      <c r="D86" s="135"/>
      <c r="E86" s="12" t="s">
        <v>6</v>
      </c>
      <c r="F86" s="12">
        <v>5</v>
      </c>
      <c r="G86" s="46">
        <v>41000</v>
      </c>
      <c r="H86" s="46">
        <f>PRODUCT(G86,F86)</f>
        <v>205000</v>
      </c>
    </row>
    <row r="87" spans="1:8" x14ac:dyDescent="0.25">
      <c r="A87" s="27" t="s">
        <v>16</v>
      </c>
      <c r="B87" s="28"/>
      <c r="C87" s="28"/>
      <c r="D87" s="29"/>
      <c r="E87" s="12" t="s">
        <v>191</v>
      </c>
      <c r="F87" s="12">
        <v>11</v>
      </c>
      <c r="G87" s="46">
        <v>10000</v>
      </c>
      <c r="H87" s="46">
        <f>PRODUCT(G87,F87)</f>
        <v>110000</v>
      </c>
    </row>
    <row r="88" spans="1:8" x14ac:dyDescent="0.25">
      <c r="A88" s="133" t="s">
        <v>31</v>
      </c>
      <c r="B88" s="134"/>
      <c r="C88" s="135"/>
      <c r="D88" s="12" t="s">
        <v>38</v>
      </c>
      <c r="E88" s="12" t="s">
        <v>6</v>
      </c>
      <c r="F88" s="12">
        <v>23</v>
      </c>
      <c r="G88" s="46">
        <v>23000</v>
      </c>
      <c r="H88" s="46">
        <f t="shared" si="3"/>
        <v>529000</v>
      </c>
    </row>
    <row r="89" spans="1:8" x14ac:dyDescent="0.25">
      <c r="A89" s="27"/>
      <c r="B89" s="28"/>
      <c r="C89" s="28"/>
      <c r="D89" s="30" t="s">
        <v>23</v>
      </c>
      <c r="E89" s="12" t="s">
        <v>6</v>
      </c>
      <c r="F89" s="12">
        <v>2</v>
      </c>
      <c r="G89" s="46">
        <v>13000</v>
      </c>
      <c r="H89" s="46">
        <f t="shared" si="3"/>
        <v>26000</v>
      </c>
    </row>
    <row r="90" spans="1:8" x14ac:dyDescent="0.25">
      <c r="A90" s="133" t="s">
        <v>16</v>
      </c>
      <c r="B90" s="134"/>
      <c r="C90" s="134"/>
      <c r="D90" s="135"/>
      <c r="E90" s="12"/>
      <c r="F90" s="12">
        <f>SUM(F88:F89)</f>
        <v>25</v>
      </c>
      <c r="G90" s="46">
        <v>9500</v>
      </c>
      <c r="H90" s="46">
        <f t="shared" si="3"/>
        <v>237500</v>
      </c>
    </row>
    <row r="91" spans="1:8" x14ac:dyDescent="0.25">
      <c r="A91" s="133" t="s">
        <v>41</v>
      </c>
      <c r="B91" s="134"/>
      <c r="C91" s="134"/>
      <c r="D91" s="135"/>
      <c r="E91" s="12" t="s">
        <v>244</v>
      </c>
      <c r="F91" s="12">
        <v>1</v>
      </c>
      <c r="G91" s="46">
        <v>50000</v>
      </c>
      <c r="H91" s="46">
        <f>PRODUCT(G91,F91)</f>
        <v>50000</v>
      </c>
    </row>
    <row r="92" spans="1:8" s="9" customFormat="1" x14ac:dyDescent="0.25">
      <c r="A92" s="195" t="s">
        <v>169</v>
      </c>
      <c r="B92" s="196"/>
      <c r="C92" s="196"/>
      <c r="D92" s="197"/>
      <c r="E92" s="16" t="s">
        <v>231</v>
      </c>
      <c r="F92" s="16">
        <f>F87</f>
        <v>11</v>
      </c>
      <c r="G92" s="47">
        <v>5000</v>
      </c>
      <c r="H92" s="47">
        <f>PRODUCT(G92,F92)</f>
        <v>55000</v>
      </c>
    </row>
    <row r="93" spans="1:8" x14ac:dyDescent="0.25">
      <c r="A93" s="182" t="s">
        <v>10</v>
      </c>
      <c r="B93" s="182"/>
      <c r="C93" s="182"/>
      <c r="D93" s="182"/>
      <c r="E93" s="182"/>
      <c r="F93" s="182"/>
      <c r="G93" s="182"/>
      <c r="H93" s="53">
        <f>SUM(H84:H92)</f>
        <v>1302500</v>
      </c>
    </row>
    <row r="94" spans="1:8" x14ac:dyDescent="0.25">
      <c r="A94" s="31"/>
      <c r="B94" s="31"/>
      <c r="C94" s="31"/>
      <c r="D94" s="31"/>
      <c r="E94" s="25"/>
      <c r="F94" s="25"/>
      <c r="G94" s="57"/>
      <c r="H94" s="57"/>
    </row>
    <row r="95" spans="1:8" x14ac:dyDescent="0.25">
      <c r="A95" s="153" t="s">
        <v>249</v>
      </c>
      <c r="B95" s="153"/>
      <c r="C95" s="153"/>
      <c r="D95" s="153"/>
      <c r="E95" s="153"/>
      <c r="F95" s="153"/>
      <c r="G95" s="153"/>
      <c r="H95" s="153"/>
    </row>
    <row r="96" spans="1:8" x14ac:dyDescent="0.25">
      <c r="A96" s="133" t="s">
        <v>222</v>
      </c>
      <c r="B96" s="134"/>
      <c r="C96" s="134"/>
      <c r="D96" s="135"/>
      <c r="E96" s="12" t="s">
        <v>18</v>
      </c>
      <c r="F96" s="12">
        <v>3</v>
      </c>
      <c r="G96" s="46">
        <v>253000</v>
      </c>
      <c r="H96" s="46">
        <f t="shared" ref="H96:H98" si="4">PRODUCT(G96,F96)</f>
        <v>759000</v>
      </c>
    </row>
    <row r="97" spans="1:8" x14ac:dyDescent="0.25">
      <c r="A97" s="133" t="s">
        <v>58</v>
      </c>
      <c r="B97" s="134"/>
      <c r="C97" s="135"/>
      <c r="D97" s="12" t="s">
        <v>59</v>
      </c>
      <c r="E97" s="12" t="s">
        <v>60</v>
      </c>
      <c r="F97" s="12">
        <v>1</v>
      </c>
      <c r="G97" s="46">
        <v>10000</v>
      </c>
      <c r="H97" s="46">
        <f t="shared" si="4"/>
        <v>10000</v>
      </c>
    </row>
    <row r="98" spans="1:8" s="9" customFormat="1" x14ac:dyDescent="0.25">
      <c r="A98" s="133" t="s">
        <v>16</v>
      </c>
      <c r="B98" s="134"/>
      <c r="C98" s="134"/>
      <c r="D98" s="135"/>
      <c r="E98" s="12"/>
      <c r="F98" s="12">
        <f>F96</f>
        <v>3</v>
      </c>
      <c r="G98" s="46">
        <v>80000</v>
      </c>
      <c r="H98" s="46">
        <f t="shared" si="4"/>
        <v>240000</v>
      </c>
    </row>
    <row r="99" spans="1:8" s="9" customFormat="1" x14ac:dyDescent="0.25">
      <c r="A99" s="195" t="s">
        <v>168</v>
      </c>
      <c r="B99" s="196"/>
      <c r="C99" s="196"/>
      <c r="D99" s="197"/>
      <c r="E99" s="16" t="s">
        <v>4</v>
      </c>
      <c r="F99" s="16">
        <v>7</v>
      </c>
      <c r="G99" s="47">
        <v>10000</v>
      </c>
      <c r="H99" s="47">
        <f>F99*G99</f>
        <v>70000</v>
      </c>
    </row>
    <row r="100" spans="1:8" x14ac:dyDescent="0.25">
      <c r="A100" s="182" t="s">
        <v>10</v>
      </c>
      <c r="B100" s="182"/>
      <c r="C100" s="182"/>
      <c r="D100" s="182"/>
      <c r="E100" s="182"/>
      <c r="F100" s="182"/>
      <c r="G100" s="182"/>
      <c r="H100" s="53">
        <f>SUM(H96:H99)</f>
        <v>1079000</v>
      </c>
    </row>
    <row r="101" spans="1:8" x14ac:dyDescent="0.25">
      <c r="A101" s="32"/>
      <c r="B101" s="32"/>
      <c r="C101" s="32"/>
      <c r="D101" s="32"/>
      <c r="E101" s="32"/>
      <c r="F101" s="32"/>
      <c r="G101" s="58"/>
      <c r="H101" s="57"/>
    </row>
    <row r="102" spans="1:8" x14ac:dyDescent="0.25">
      <c r="A102" s="153" t="s">
        <v>250</v>
      </c>
      <c r="B102" s="153"/>
      <c r="C102" s="153"/>
      <c r="D102" s="153"/>
      <c r="E102" s="153"/>
      <c r="F102" s="153"/>
      <c r="G102" s="153"/>
      <c r="H102" s="153"/>
    </row>
    <row r="103" spans="1:8" x14ac:dyDescent="0.25">
      <c r="A103" s="201" t="s">
        <v>50</v>
      </c>
      <c r="B103" s="202"/>
      <c r="C103" s="202"/>
      <c r="D103" s="203"/>
      <c r="E103" s="12" t="s">
        <v>6</v>
      </c>
      <c r="F103" s="12">
        <v>5</v>
      </c>
      <c r="G103" s="46">
        <v>12000</v>
      </c>
      <c r="H103" s="46">
        <f t="shared" ref="H103:H115" si="5">PRODUCT(G103,F103)</f>
        <v>60000</v>
      </c>
    </row>
    <row r="104" spans="1:8" x14ac:dyDescent="0.25">
      <c r="A104" s="201" t="s">
        <v>51</v>
      </c>
      <c r="B104" s="202"/>
      <c r="C104" s="203"/>
      <c r="D104" s="33" t="s">
        <v>52</v>
      </c>
      <c r="E104" s="12" t="s">
        <v>6</v>
      </c>
      <c r="F104" s="12">
        <v>300</v>
      </c>
      <c r="G104" s="46">
        <v>20000</v>
      </c>
      <c r="H104" s="46">
        <f t="shared" si="5"/>
        <v>6000000</v>
      </c>
    </row>
    <row r="105" spans="1:8" x14ac:dyDescent="0.25">
      <c r="A105" s="201" t="s">
        <v>53</v>
      </c>
      <c r="B105" s="202"/>
      <c r="C105" s="203"/>
      <c r="D105" s="33" t="s">
        <v>52</v>
      </c>
      <c r="E105" s="12" t="s">
        <v>6</v>
      </c>
      <c r="F105" s="12">
        <v>300</v>
      </c>
      <c r="G105" s="46">
        <v>1500</v>
      </c>
      <c r="H105" s="46">
        <f t="shared" si="5"/>
        <v>450000</v>
      </c>
    </row>
    <row r="106" spans="1:8" x14ac:dyDescent="0.25">
      <c r="A106" s="201" t="s">
        <v>54</v>
      </c>
      <c r="B106" s="202"/>
      <c r="C106" s="203"/>
      <c r="D106" s="33" t="s">
        <v>52</v>
      </c>
      <c r="E106" s="12" t="s">
        <v>6</v>
      </c>
      <c r="F106" s="12">
        <v>300</v>
      </c>
      <c r="G106" s="46">
        <v>1500</v>
      </c>
      <c r="H106" s="46">
        <f t="shared" si="5"/>
        <v>450000</v>
      </c>
    </row>
    <row r="107" spans="1:8" x14ac:dyDescent="0.25">
      <c r="A107" s="201" t="s">
        <v>55</v>
      </c>
      <c r="B107" s="202"/>
      <c r="C107" s="203"/>
      <c r="D107" s="33" t="s">
        <v>52</v>
      </c>
      <c r="E107" s="12" t="s">
        <v>6</v>
      </c>
      <c r="F107" s="12">
        <v>300</v>
      </c>
      <c r="G107" s="46">
        <v>1500</v>
      </c>
      <c r="H107" s="46">
        <f t="shared" si="5"/>
        <v>450000</v>
      </c>
    </row>
    <row r="108" spans="1:8" x14ac:dyDescent="0.25">
      <c r="A108" s="201" t="s">
        <v>56</v>
      </c>
      <c r="B108" s="202"/>
      <c r="C108" s="203"/>
      <c r="D108" s="33" t="s">
        <v>52</v>
      </c>
      <c r="E108" s="12" t="s">
        <v>6</v>
      </c>
      <c r="F108" s="12">
        <v>300</v>
      </c>
      <c r="G108" s="46">
        <v>1500</v>
      </c>
      <c r="H108" s="46">
        <f t="shared" si="5"/>
        <v>450000</v>
      </c>
    </row>
    <row r="109" spans="1:8" x14ac:dyDescent="0.25">
      <c r="A109" s="201" t="s">
        <v>57</v>
      </c>
      <c r="B109" s="202"/>
      <c r="C109" s="203"/>
      <c r="D109" s="33" t="s">
        <v>52</v>
      </c>
      <c r="E109" s="12" t="s">
        <v>6</v>
      </c>
      <c r="F109" s="12">
        <v>250</v>
      </c>
      <c r="G109" s="46">
        <v>2000</v>
      </c>
      <c r="H109" s="46">
        <f t="shared" si="5"/>
        <v>500000</v>
      </c>
    </row>
    <row r="110" spans="1:8" x14ac:dyDescent="0.25">
      <c r="A110" s="201" t="s">
        <v>51</v>
      </c>
      <c r="B110" s="202"/>
      <c r="C110" s="203"/>
      <c r="D110" s="33" t="s">
        <v>219</v>
      </c>
      <c r="E110" s="12" t="s">
        <v>6</v>
      </c>
      <c r="F110" s="12">
        <v>300</v>
      </c>
      <c r="G110" s="46">
        <v>40000</v>
      </c>
      <c r="H110" s="46">
        <f t="shared" si="5"/>
        <v>12000000</v>
      </c>
    </row>
    <row r="111" spans="1:8" x14ac:dyDescent="0.25">
      <c r="A111" s="201" t="s">
        <v>220</v>
      </c>
      <c r="B111" s="202"/>
      <c r="C111" s="203"/>
      <c r="D111" s="33" t="s">
        <v>219</v>
      </c>
      <c r="E111" s="12" t="s">
        <v>6</v>
      </c>
      <c r="F111" s="12">
        <v>50</v>
      </c>
      <c r="G111" s="46">
        <v>5000</v>
      </c>
      <c r="H111" s="46">
        <f t="shared" si="5"/>
        <v>250000</v>
      </c>
    </row>
    <row r="112" spans="1:8" x14ac:dyDescent="0.25">
      <c r="A112" s="201" t="s">
        <v>55</v>
      </c>
      <c r="B112" s="202"/>
      <c r="C112" s="203"/>
      <c r="D112" s="33" t="s">
        <v>219</v>
      </c>
      <c r="E112" s="12" t="s">
        <v>6</v>
      </c>
      <c r="F112" s="12">
        <v>50</v>
      </c>
      <c r="G112" s="46">
        <v>4000</v>
      </c>
      <c r="H112" s="46">
        <f t="shared" si="5"/>
        <v>200000</v>
      </c>
    </row>
    <row r="113" spans="1:8" x14ac:dyDescent="0.25">
      <c r="A113" s="201" t="s">
        <v>54</v>
      </c>
      <c r="B113" s="202"/>
      <c r="C113" s="203"/>
      <c r="D113" s="33" t="s">
        <v>219</v>
      </c>
      <c r="E113" s="12" t="s">
        <v>6</v>
      </c>
      <c r="F113" s="12">
        <v>50</v>
      </c>
      <c r="G113" s="46">
        <v>5000</v>
      </c>
      <c r="H113" s="46">
        <f t="shared" si="5"/>
        <v>250000</v>
      </c>
    </row>
    <row r="114" spans="1:8" x14ac:dyDescent="0.25">
      <c r="A114" s="201" t="s">
        <v>221</v>
      </c>
      <c r="B114" s="202"/>
      <c r="C114" s="203"/>
      <c r="D114" s="33" t="s">
        <v>219</v>
      </c>
      <c r="E114" s="12" t="s">
        <v>6</v>
      </c>
      <c r="F114" s="12">
        <v>50</v>
      </c>
      <c r="G114" s="46">
        <v>4000</v>
      </c>
      <c r="H114" s="46">
        <f t="shared" si="5"/>
        <v>200000</v>
      </c>
    </row>
    <row r="115" spans="1:8" x14ac:dyDescent="0.25">
      <c r="A115" s="201" t="s">
        <v>57</v>
      </c>
      <c r="B115" s="202"/>
      <c r="C115" s="203"/>
      <c r="D115" s="33" t="s">
        <v>219</v>
      </c>
      <c r="E115" s="12" t="s">
        <v>6</v>
      </c>
      <c r="F115" s="12">
        <v>50</v>
      </c>
      <c r="G115" s="46">
        <v>11000</v>
      </c>
      <c r="H115" s="46">
        <f t="shared" si="5"/>
        <v>550000</v>
      </c>
    </row>
    <row r="116" spans="1:8" s="9" customFormat="1" ht="15" customHeight="1" x14ac:dyDescent="0.25">
      <c r="A116" s="195" t="s">
        <v>16</v>
      </c>
      <c r="B116" s="196"/>
      <c r="C116" s="196"/>
      <c r="D116" s="196"/>
      <c r="E116" s="196"/>
      <c r="F116" s="196"/>
      <c r="G116" s="197"/>
      <c r="H116" s="47">
        <v>1500000</v>
      </c>
    </row>
    <row r="117" spans="1:8" x14ac:dyDescent="0.25">
      <c r="A117" s="182" t="s">
        <v>10</v>
      </c>
      <c r="B117" s="182"/>
      <c r="C117" s="182"/>
      <c r="D117" s="182"/>
      <c r="E117" s="182"/>
      <c r="F117" s="182"/>
      <c r="G117" s="182"/>
      <c r="H117" s="53">
        <f>SUM(H103:H116)</f>
        <v>23310000</v>
      </c>
    </row>
    <row r="118" spans="1:8" x14ac:dyDescent="0.25">
      <c r="A118" s="25"/>
      <c r="B118" s="25"/>
      <c r="C118" s="25"/>
      <c r="D118" s="25"/>
      <c r="E118" s="25"/>
      <c r="F118" s="25"/>
      <c r="G118" s="57"/>
      <c r="H118" s="57"/>
    </row>
    <row r="119" spans="1:8" x14ac:dyDescent="0.25">
      <c r="A119" s="132" t="s">
        <v>196</v>
      </c>
      <c r="B119" s="132"/>
      <c r="C119" s="132"/>
      <c r="D119" s="132"/>
      <c r="E119" s="132"/>
      <c r="F119" s="132"/>
      <c r="G119" s="132"/>
      <c r="H119" s="59">
        <f>SUM(H117,H100,H93,H81,H69)</f>
        <v>45149300</v>
      </c>
    </row>
    <row r="120" spans="1:8" x14ac:dyDescent="0.25">
      <c r="A120" s="34"/>
      <c r="B120" s="34"/>
      <c r="C120" s="34"/>
      <c r="D120" s="34"/>
      <c r="E120" s="34"/>
      <c r="F120" s="34"/>
      <c r="G120" s="59"/>
      <c r="H120" s="59"/>
    </row>
    <row r="121" spans="1:8" x14ac:dyDescent="0.25">
      <c r="A121" s="153" t="s">
        <v>251</v>
      </c>
      <c r="B121" s="153"/>
      <c r="C121" s="153"/>
      <c r="D121" s="153"/>
      <c r="E121" s="153"/>
      <c r="F121" s="153"/>
      <c r="G121" s="153"/>
      <c r="H121" s="153"/>
    </row>
    <row r="122" spans="1:8" x14ac:dyDescent="0.25">
      <c r="A122" s="133" t="s">
        <v>34</v>
      </c>
      <c r="B122" s="134"/>
      <c r="C122" s="134"/>
      <c r="D122" s="135"/>
      <c r="E122" s="12" t="s">
        <v>26</v>
      </c>
      <c r="F122" s="12">
        <v>3925</v>
      </c>
      <c r="G122" s="46">
        <v>1500</v>
      </c>
      <c r="H122" s="46">
        <f>PRODUCT(G122,F122)</f>
        <v>5887500</v>
      </c>
    </row>
    <row r="123" spans="1:8" x14ac:dyDescent="0.25">
      <c r="A123" s="133" t="s">
        <v>20</v>
      </c>
      <c r="B123" s="134"/>
      <c r="C123" s="134"/>
      <c r="D123" s="135"/>
      <c r="E123" s="12" t="s">
        <v>26</v>
      </c>
      <c r="F123" s="12">
        <v>80</v>
      </c>
      <c r="G123" s="46">
        <v>17500</v>
      </c>
      <c r="H123" s="46">
        <f>PRODUCT(G123,F123)</f>
        <v>1400000</v>
      </c>
    </row>
    <row r="124" spans="1:8" x14ac:dyDescent="0.25">
      <c r="A124" s="133" t="s">
        <v>19</v>
      </c>
      <c r="B124" s="134"/>
      <c r="C124" s="134"/>
      <c r="D124" s="135"/>
      <c r="E124" s="12" t="s">
        <v>18</v>
      </c>
      <c r="F124" s="12">
        <v>22</v>
      </c>
      <c r="G124" s="46">
        <v>22500</v>
      </c>
      <c r="H124" s="46">
        <f>PRODUCT(G124,F124)</f>
        <v>495000</v>
      </c>
    </row>
    <row r="125" spans="1:8" s="9" customFormat="1" x14ac:dyDescent="0.25">
      <c r="A125" s="195" t="s">
        <v>22</v>
      </c>
      <c r="B125" s="196"/>
      <c r="C125" s="196"/>
      <c r="D125" s="197"/>
      <c r="E125" s="16"/>
      <c r="F125" s="16">
        <f>F122</f>
        <v>3925</v>
      </c>
      <c r="G125" s="47">
        <v>800</v>
      </c>
      <c r="H125" s="47">
        <f>F125*G125</f>
        <v>3140000</v>
      </c>
    </row>
    <row r="126" spans="1:8" x14ac:dyDescent="0.25">
      <c r="A126" s="182" t="s">
        <v>10</v>
      </c>
      <c r="B126" s="182"/>
      <c r="C126" s="182"/>
      <c r="D126" s="182"/>
      <c r="E126" s="182"/>
      <c r="F126" s="182"/>
      <c r="G126" s="182"/>
      <c r="H126" s="53">
        <f>SUM(H122:H125)</f>
        <v>10922500</v>
      </c>
    </row>
    <row r="127" spans="1:8" x14ac:dyDescent="0.25">
      <c r="A127" s="17"/>
      <c r="B127" s="17"/>
      <c r="C127" s="17"/>
      <c r="D127" s="17"/>
      <c r="E127" s="17"/>
      <c r="F127" s="17"/>
      <c r="G127" s="49"/>
      <c r="H127" s="49"/>
    </row>
    <row r="128" spans="1:8" x14ac:dyDescent="0.25">
      <c r="A128" s="153" t="s">
        <v>252</v>
      </c>
      <c r="B128" s="153"/>
      <c r="C128" s="153"/>
      <c r="D128" s="153"/>
      <c r="E128" s="153"/>
      <c r="F128" s="153"/>
      <c r="G128" s="153"/>
      <c r="H128" s="153"/>
    </row>
    <row r="129" spans="1:8" x14ac:dyDescent="0.25">
      <c r="A129" s="220" t="s">
        <v>193</v>
      </c>
      <c r="B129" s="221"/>
      <c r="C129" s="221"/>
      <c r="D129" s="222"/>
      <c r="E129" s="22" t="s">
        <v>18</v>
      </c>
      <c r="F129" s="22">
        <v>6.1</v>
      </c>
      <c r="G129" s="54">
        <v>253000</v>
      </c>
      <c r="H129" s="46">
        <f t="shared" ref="H129:H136" si="6">PRODUCT(G129,F129)</f>
        <v>1543300</v>
      </c>
    </row>
    <row r="130" spans="1:8" x14ac:dyDescent="0.25">
      <c r="A130" s="133" t="s">
        <v>22</v>
      </c>
      <c r="B130" s="134"/>
      <c r="C130" s="134"/>
      <c r="D130" s="135"/>
      <c r="E130" s="12"/>
      <c r="F130" s="12">
        <f>F129</f>
        <v>6.1</v>
      </c>
      <c r="G130" s="46">
        <v>81000</v>
      </c>
      <c r="H130" s="46">
        <f t="shared" si="6"/>
        <v>494100</v>
      </c>
    </row>
    <row r="131" spans="1:8" x14ac:dyDescent="0.25">
      <c r="A131" s="195" t="s">
        <v>31</v>
      </c>
      <c r="B131" s="196"/>
      <c r="C131" s="197"/>
      <c r="D131" s="12" t="s">
        <v>276</v>
      </c>
      <c r="E131" s="12" t="s">
        <v>6</v>
      </c>
      <c r="F131" s="12">
        <v>43</v>
      </c>
      <c r="G131" s="46">
        <v>40000</v>
      </c>
      <c r="H131" s="46">
        <f t="shared" si="6"/>
        <v>1720000</v>
      </c>
    </row>
    <row r="132" spans="1:8" x14ac:dyDescent="0.25">
      <c r="A132" s="213"/>
      <c r="B132" s="214"/>
      <c r="C132" s="215"/>
      <c r="D132" s="12" t="s">
        <v>32</v>
      </c>
      <c r="E132" s="12" t="s">
        <v>6</v>
      </c>
      <c r="F132" s="12">
        <v>42</v>
      </c>
      <c r="G132" s="46">
        <v>13000</v>
      </c>
      <c r="H132" s="46">
        <f t="shared" si="6"/>
        <v>546000</v>
      </c>
    </row>
    <row r="133" spans="1:8" x14ac:dyDescent="0.25">
      <c r="A133" s="133" t="s">
        <v>22</v>
      </c>
      <c r="B133" s="134"/>
      <c r="C133" s="134"/>
      <c r="D133" s="135"/>
      <c r="E133" s="12"/>
      <c r="F133" s="12">
        <f>F131+F132</f>
        <v>85</v>
      </c>
      <c r="G133" s="46">
        <v>9500</v>
      </c>
      <c r="H133" s="46">
        <f t="shared" si="6"/>
        <v>807500</v>
      </c>
    </row>
    <row r="134" spans="1:8" x14ac:dyDescent="0.25">
      <c r="A134" s="133" t="s">
        <v>2</v>
      </c>
      <c r="B134" s="134"/>
      <c r="C134" s="134"/>
      <c r="D134" s="135"/>
      <c r="E134" s="12" t="s">
        <v>3</v>
      </c>
      <c r="F134" s="12">
        <v>65</v>
      </c>
      <c r="G134" s="46">
        <v>3000</v>
      </c>
      <c r="H134" s="46">
        <f t="shared" si="6"/>
        <v>195000</v>
      </c>
    </row>
    <row r="135" spans="1:8" x14ac:dyDescent="0.25">
      <c r="A135" s="133" t="s">
        <v>232</v>
      </c>
      <c r="B135" s="134"/>
      <c r="C135" s="134"/>
      <c r="D135" s="135"/>
      <c r="E135" s="16" t="s">
        <v>231</v>
      </c>
      <c r="F135" s="12">
        <v>109</v>
      </c>
      <c r="G135" s="47">
        <v>12000</v>
      </c>
      <c r="H135" s="46">
        <f t="shared" si="6"/>
        <v>1308000</v>
      </c>
    </row>
    <row r="136" spans="1:8" s="9" customFormat="1" x14ac:dyDescent="0.25">
      <c r="A136" s="195" t="s">
        <v>169</v>
      </c>
      <c r="B136" s="196"/>
      <c r="C136" s="196"/>
      <c r="D136" s="197"/>
      <c r="E136" s="16" t="s">
        <v>231</v>
      </c>
      <c r="F136" s="16">
        <v>109</v>
      </c>
      <c r="G136" s="47">
        <v>5200</v>
      </c>
      <c r="H136" s="47">
        <f t="shared" si="6"/>
        <v>566800</v>
      </c>
    </row>
    <row r="137" spans="1:8" x14ac:dyDescent="0.25">
      <c r="A137" s="182" t="s">
        <v>10</v>
      </c>
      <c r="B137" s="182"/>
      <c r="C137" s="182"/>
      <c r="D137" s="182"/>
      <c r="E137" s="182"/>
      <c r="F137" s="182"/>
      <c r="G137" s="182"/>
      <c r="H137" s="53">
        <f>SUM(H129:H136)</f>
        <v>7180700</v>
      </c>
    </row>
    <row r="138" spans="1:8" x14ac:dyDescent="0.25">
      <c r="A138" s="26"/>
      <c r="B138" s="26"/>
      <c r="C138" s="26"/>
      <c r="D138" s="26"/>
      <c r="E138" s="25"/>
      <c r="F138" s="21"/>
      <c r="G138" s="52"/>
      <c r="H138" s="57"/>
    </row>
    <row r="139" spans="1:8" x14ac:dyDescent="0.25">
      <c r="A139" s="224" t="s">
        <v>277</v>
      </c>
      <c r="B139" s="224"/>
      <c r="C139" s="224"/>
      <c r="D139" s="224"/>
      <c r="E139" s="224"/>
      <c r="F139" s="224"/>
      <c r="G139" s="224"/>
      <c r="H139" s="224"/>
    </row>
    <row r="140" spans="1:8" x14ac:dyDescent="0.25">
      <c r="A140" s="195" t="s">
        <v>35</v>
      </c>
      <c r="B140" s="196"/>
      <c r="C140" s="197"/>
      <c r="D140" s="12" t="s">
        <v>36</v>
      </c>
      <c r="E140" s="12" t="s">
        <v>3</v>
      </c>
      <c r="F140" s="12">
        <v>65</v>
      </c>
      <c r="G140" s="46">
        <v>3000</v>
      </c>
      <c r="H140" s="46">
        <f t="shared" ref="H140:H146" si="7">PRODUCT(G140,F140)</f>
        <v>195000</v>
      </c>
    </row>
    <row r="141" spans="1:8" x14ac:dyDescent="0.25">
      <c r="A141" s="213"/>
      <c r="B141" s="214"/>
      <c r="C141" s="215"/>
      <c r="D141" s="12" t="s">
        <v>37</v>
      </c>
      <c r="E141" s="12" t="s">
        <v>3</v>
      </c>
      <c r="F141" s="12">
        <v>65</v>
      </c>
      <c r="G141" s="46">
        <v>3000</v>
      </c>
      <c r="H141" s="46">
        <f t="shared" si="7"/>
        <v>195000</v>
      </c>
    </row>
    <row r="142" spans="1:8" x14ac:dyDescent="0.25">
      <c r="A142" s="195" t="s">
        <v>31</v>
      </c>
      <c r="B142" s="196"/>
      <c r="C142" s="197"/>
      <c r="D142" s="12" t="s">
        <v>38</v>
      </c>
      <c r="E142" s="12" t="s">
        <v>6</v>
      </c>
      <c r="F142" s="12">
        <v>511</v>
      </c>
      <c r="G142" s="46">
        <v>23000</v>
      </c>
      <c r="H142" s="46">
        <f t="shared" si="7"/>
        <v>11753000</v>
      </c>
    </row>
    <row r="143" spans="1:8" x14ac:dyDescent="0.25">
      <c r="A143" s="116"/>
      <c r="B143" s="117"/>
      <c r="C143" s="118"/>
      <c r="D143" s="12" t="s">
        <v>275</v>
      </c>
      <c r="E143" s="12" t="s">
        <v>6</v>
      </c>
      <c r="F143" s="23">
        <v>0</v>
      </c>
      <c r="G143" s="46">
        <v>40000</v>
      </c>
      <c r="H143" s="46">
        <f t="shared" si="7"/>
        <v>0</v>
      </c>
    </row>
    <row r="144" spans="1:8" x14ac:dyDescent="0.25">
      <c r="A144" s="216"/>
      <c r="B144" s="217"/>
      <c r="C144" s="218"/>
      <c r="D144" s="12" t="s">
        <v>23</v>
      </c>
      <c r="E144" s="12" t="s">
        <v>6</v>
      </c>
      <c r="F144" s="23">
        <v>100</v>
      </c>
      <c r="G144" s="46">
        <v>13000</v>
      </c>
      <c r="H144" s="46">
        <f t="shared" si="7"/>
        <v>1300000</v>
      </c>
    </row>
    <row r="145" spans="1:8" x14ac:dyDescent="0.25">
      <c r="A145" s="133" t="s">
        <v>16</v>
      </c>
      <c r="B145" s="134"/>
      <c r="C145" s="134"/>
      <c r="D145" s="135"/>
      <c r="E145" s="12"/>
      <c r="F145" s="12">
        <f>SUM(F142:F144)</f>
        <v>611</v>
      </c>
      <c r="G145" s="46">
        <v>9500</v>
      </c>
      <c r="H145" s="46">
        <f t="shared" si="7"/>
        <v>5804500</v>
      </c>
    </row>
    <row r="146" spans="1:8" x14ac:dyDescent="0.25">
      <c r="A146" s="133" t="s">
        <v>39</v>
      </c>
      <c r="B146" s="134"/>
      <c r="C146" s="134"/>
      <c r="D146" s="135"/>
      <c r="E146" s="12" t="s">
        <v>6</v>
      </c>
      <c r="F146" s="12">
        <v>340</v>
      </c>
      <c r="G146" s="46">
        <v>3600</v>
      </c>
      <c r="H146" s="46">
        <f t="shared" si="7"/>
        <v>1224000</v>
      </c>
    </row>
    <row r="147" spans="1:8" x14ac:dyDescent="0.25">
      <c r="A147" s="133" t="s">
        <v>40</v>
      </c>
      <c r="B147" s="134"/>
      <c r="C147" s="134"/>
      <c r="D147" s="135"/>
      <c r="E147" s="12" t="s">
        <v>6</v>
      </c>
      <c r="F147" s="12">
        <v>56</v>
      </c>
      <c r="G147" s="46">
        <v>14000</v>
      </c>
      <c r="H147" s="46">
        <f>F147*G147</f>
        <v>784000</v>
      </c>
    </row>
    <row r="148" spans="1:8" x14ac:dyDescent="0.25">
      <c r="A148" s="133" t="s">
        <v>218</v>
      </c>
      <c r="B148" s="134"/>
      <c r="C148" s="134"/>
      <c r="D148" s="135"/>
      <c r="E148" s="12" t="s">
        <v>6</v>
      </c>
      <c r="F148" s="12">
        <v>110</v>
      </c>
      <c r="G148" s="46">
        <v>41000</v>
      </c>
      <c r="H148" s="46">
        <f>PRODUCT(G148,F148)</f>
        <v>4510000</v>
      </c>
    </row>
    <row r="149" spans="1:8" x14ac:dyDescent="0.25">
      <c r="A149" s="133" t="s">
        <v>41</v>
      </c>
      <c r="B149" s="134"/>
      <c r="C149" s="134"/>
      <c r="D149" s="135"/>
      <c r="E149" s="12" t="s">
        <v>33</v>
      </c>
      <c r="F149" s="12">
        <v>2</v>
      </c>
      <c r="G149" s="46">
        <v>50000</v>
      </c>
      <c r="H149" s="46">
        <f>PRODUCT(G149,F149)</f>
        <v>100000</v>
      </c>
    </row>
    <row r="150" spans="1:8" x14ac:dyDescent="0.25">
      <c r="A150" s="133" t="s">
        <v>232</v>
      </c>
      <c r="B150" s="134"/>
      <c r="C150" s="134"/>
      <c r="D150" s="135"/>
      <c r="E150" s="12" t="s">
        <v>231</v>
      </c>
      <c r="F150" s="12">
        <v>417</v>
      </c>
      <c r="G150" s="46">
        <v>11000</v>
      </c>
      <c r="H150" s="46">
        <f>PRODUCT(G150,F150)</f>
        <v>4587000</v>
      </c>
    </row>
    <row r="151" spans="1:8" x14ac:dyDescent="0.25">
      <c r="A151" s="133" t="s">
        <v>169</v>
      </c>
      <c r="B151" s="134"/>
      <c r="C151" s="134"/>
      <c r="D151" s="135"/>
      <c r="E151" s="12" t="s">
        <v>231</v>
      </c>
      <c r="F151" s="12">
        <f>F150</f>
        <v>417</v>
      </c>
      <c r="G151" s="46">
        <v>5100</v>
      </c>
      <c r="H151" s="46">
        <f>PRODUCT(G151,F151)</f>
        <v>2126700</v>
      </c>
    </row>
    <row r="152" spans="1:8" x14ac:dyDescent="0.25">
      <c r="A152" s="182" t="s">
        <v>10</v>
      </c>
      <c r="B152" s="182"/>
      <c r="C152" s="182"/>
      <c r="D152" s="182"/>
      <c r="E152" s="182"/>
      <c r="F152" s="182"/>
      <c r="G152" s="182"/>
      <c r="H152" s="53">
        <f>SUM(H140:H151)</f>
        <v>32579200</v>
      </c>
    </row>
    <row r="153" spans="1:8" x14ac:dyDescent="0.25">
      <c r="A153" s="17"/>
      <c r="B153" s="17"/>
      <c r="C153" s="17"/>
      <c r="D153" s="17"/>
      <c r="E153" s="17"/>
      <c r="F153" s="17"/>
      <c r="G153" s="60"/>
      <c r="H153" s="60"/>
    </row>
    <row r="154" spans="1:8" x14ac:dyDescent="0.25">
      <c r="A154" s="153" t="s">
        <v>279</v>
      </c>
      <c r="B154" s="153"/>
      <c r="C154" s="153"/>
      <c r="D154" s="153"/>
      <c r="E154" s="153"/>
      <c r="F154" s="153"/>
      <c r="G154" s="153"/>
      <c r="H154" s="153"/>
    </row>
    <row r="155" spans="1:8" x14ac:dyDescent="0.25">
      <c r="A155" s="205" t="s">
        <v>42</v>
      </c>
      <c r="B155" s="206"/>
      <c r="C155" s="206"/>
      <c r="D155" s="207"/>
      <c r="E155" s="12" t="s">
        <v>6</v>
      </c>
      <c r="F155" s="12">
        <v>300</v>
      </c>
      <c r="G155" s="46">
        <v>2500</v>
      </c>
      <c r="H155" s="46">
        <f t="shared" ref="H155:H178" si="8">PRODUCT(G155,F155)</f>
        <v>750000</v>
      </c>
    </row>
    <row r="156" spans="1:8" x14ac:dyDescent="0.25">
      <c r="A156" s="201" t="s">
        <v>43</v>
      </c>
      <c r="B156" s="202"/>
      <c r="C156" s="202"/>
      <c r="D156" s="203"/>
      <c r="E156" s="12" t="s">
        <v>6</v>
      </c>
      <c r="F156" s="12">
        <v>300</v>
      </c>
      <c r="G156" s="46">
        <v>3500</v>
      </c>
      <c r="H156" s="46">
        <f t="shared" si="8"/>
        <v>1050000</v>
      </c>
    </row>
    <row r="157" spans="1:8" x14ac:dyDescent="0.25">
      <c r="A157" s="201" t="s">
        <v>44</v>
      </c>
      <c r="B157" s="202"/>
      <c r="C157" s="202"/>
      <c r="D157" s="203"/>
      <c r="E157" s="12" t="s">
        <v>6</v>
      </c>
      <c r="F157" s="12">
        <v>300</v>
      </c>
      <c r="G157" s="46">
        <v>500</v>
      </c>
      <c r="H157" s="46">
        <f t="shared" si="8"/>
        <v>150000</v>
      </c>
    </row>
    <row r="158" spans="1:8" x14ac:dyDescent="0.25">
      <c r="A158" s="201" t="s">
        <v>161</v>
      </c>
      <c r="B158" s="202"/>
      <c r="C158" s="202"/>
      <c r="D158" s="203"/>
      <c r="E158" s="12" t="s">
        <v>6</v>
      </c>
      <c r="F158" s="12">
        <v>300</v>
      </c>
      <c r="G158" s="46">
        <v>700</v>
      </c>
      <c r="H158" s="46">
        <f t="shared" si="8"/>
        <v>210000</v>
      </c>
    </row>
    <row r="159" spans="1:8" x14ac:dyDescent="0.25">
      <c r="A159" s="201" t="s">
        <v>45</v>
      </c>
      <c r="B159" s="202"/>
      <c r="C159" s="202"/>
      <c r="D159" s="203"/>
      <c r="E159" s="12" t="s">
        <v>6</v>
      </c>
      <c r="F159" s="12">
        <v>300</v>
      </c>
      <c r="G159" s="46">
        <v>3500</v>
      </c>
      <c r="H159" s="46">
        <f t="shared" si="8"/>
        <v>1050000</v>
      </c>
    </row>
    <row r="160" spans="1:8" x14ac:dyDescent="0.25">
      <c r="A160" s="201" t="s">
        <v>46</v>
      </c>
      <c r="B160" s="202"/>
      <c r="C160" s="202"/>
      <c r="D160" s="203"/>
      <c r="E160" s="12" t="s">
        <v>6</v>
      </c>
      <c r="F160" s="12">
        <v>300</v>
      </c>
      <c r="G160" s="46">
        <v>900</v>
      </c>
      <c r="H160" s="46">
        <f t="shared" si="8"/>
        <v>270000</v>
      </c>
    </row>
    <row r="161" spans="1:8" ht="27.6" customHeight="1" x14ac:dyDescent="0.25">
      <c r="A161" s="208" t="s">
        <v>162</v>
      </c>
      <c r="B161" s="209"/>
      <c r="C161" s="209"/>
      <c r="D161" s="210"/>
      <c r="E161" s="12" t="s">
        <v>6</v>
      </c>
      <c r="F161" s="12">
        <v>300</v>
      </c>
      <c r="G161" s="46">
        <v>2000</v>
      </c>
      <c r="H161" s="46">
        <f t="shared" si="8"/>
        <v>600000</v>
      </c>
    </row>
    <row r="162" spans="1:8" x14ac:dyDescent="0.25">
      <c r="A162" s="201" t="s">
        <v>47</v>
      </c>
      <c r="B162" s="202"/>
      <c r="C162" s="202"/>
      <c r="D162" s="203"/>
      <c r="E162" s="12" t="s">
        <v>6</v>
      </c>
      <c r="F162" s="12">
        <v>5</v>
      </c>
      <c r="G162" s="46">
        <v>5000</v>
      </c>
      <c r="H162" s="46">
        <f t="shared" si="8"/>
        <v>25000</v>
      </c>
    </row>
    <row r="163" spans="1:8" x14ac:dyDescent="0.25">
      <c r="A163" s="201" t="s">
        <v>48</v>
      </c>
      <c r="B163" s="202"/>
      <c r="C163" s="202"/>
      <c r="D163" s="203"/>
      <c r="E163" s="12" t="s">
        <v>3</v>
      </c>
      <c r="F163" s="12">
        <v>10</v>
      </c>
      <c r="G163" s="46">
        <v>2000</v>
      </c>
      <c r="H163" s="46">
        <f t="shared" si="8"/>
        <v>20000</v>
      </c>
    </row>
    <row r="164" spans="1:8" x14ac:dyDescent="0.25">
      <c r="A164" s="201" t="s">
        <v>49</v>
      </c>
      <c r="B164" s="202"/>
      <c r="C164" s="202"/>
      <c r="D164" s="203"/>
      <c r="E164" s="12" t="s">
        <v>3</v>
      </c>
      <c r="F164" s="12">
        <v>20</v>
      </c>
      <c r="G164" s="46">
        <v>5000</v>
      </c>
      <c r="H164" s="46">
        <f t="shared" si="8"/>
        <v>100000</v>
      </c>
    </row>
    <row r="165" spans="1:8" x14ac:dyDescent="0.25">
      <c r="A165" s="201" t="s">
        <v>163</v>
      </c>
      <c r="B165" s="202"/>
      <c r="C165" s="202"/>
      <c r="D165" s="203"/>
      <c r="E165" s="12" t="s">
        <v>3</v>
      </c>
      <c r="F165" s="12">
        <v>12</v>
      </c>
      <c r="G165" s="46">
        <v>10000</v>
      </c>
      <c r="H165" s="46">
        <f t="shared" si="8"/>
        <v>120000</v>
      </c>
    </row>
    <row r="166" spans="1:8" x14ac:dyDescent="0.25">
      <c r="A166" s="201" t="s">
        <v>50</v>
      </c>
      <c r="B166" s="202"/>
      <c r="C166" s="202"/>
      <c r="D166" s="203"/>
      <c r="E166" s="12" t="s">
        <v>6</v>
      </c>
      <c r="F166" s="12">
        <v>10</v>
      </c>
      <c r="G166" s="46">
        <v>12000</v>
      </c>
      <c r="H166" s="46">
        <f t="shared" si="8"/>
        <v>120000</v>
      </c>
    </row>
    <row r="167" spans="1:8" x14ac:dyDescent="0.25">
      <c r="A167" s="201" t="s">
        <v>51</v>
      </c>
      <c r="B167" s="202"/>
      <c r="C167" s="203"/>
      <c r="D167" s="33" t="s">
        <v>52</v>
      </c>
      <c r="E167" s="12" t="s">
        <v>6</v>
      </c>
      <c r="F167" s="12">
        <v>300</v>
      </c>
      <c r="G167" s="46">
        <v>20000</v>
      </c>
      <c r="H167" s="46">
        <f t="shared" si="8"/>
        <v>6000000</v>
      </c>
    </row>
    <row r="168" spans="1:8" x14ac:dyDescent="0.25">
      <c r="A168" s="201" t="s">
        <v>53</v>
      </c>
      <c r="B168" s="202"/>
      <c r="C168" s="203"/>
      <c r="D168" s="33" t="s">
        <v>52</v>
      </c>
      <c r="E168" s="12" t="s">
        <v>6</v>
      </c>
      <c r="F168" s="12">
        <v>300</v>
      </c>
      <c r="G168" s="46">
        <v>1500</v>
      </c>
      <c r="H168" s="46">
        <f t="shared" si="8"/>
        <v>450000</v>
      </c>
    </row>
    <row r="169" spans="1:8" x14ac:dyDescent="0.25">
      <c r="A169" s="201" t="s">
        <v>54</v>
      </c>
      <c r="B169" s="202"/>
      <c r="C169" s="203"/>
      <c r="D169" s="33" t="s">
        <v>52</v>
      </c>
      <c r="E169" s="12" t="s">
        <v>6</v>
      </c>
      <c r="F169" s="12">
        <v>300</v>
      </c>
      <c r="G169" s="46">
        <v>1500</v>
      </c>
      <c r="H169" s="46">
        <f t="shared" si="8"/>
        <v>450000</v>
      </c>
    </row>
    <row r="170" spans="1:8" x14ac:dyDescent="0.25">
      <c r="A170" s="201" t="s">
        <v>55</v>
      </c>
      <c r="B170" s="202"/>
      <c r="C170" s="203"/>
      <c r="D170" s="33" t="s">
        <v>52</v>
      </c>
      <c r="E170" s="12" t="s">
        <v>6</v>
      </c>
      <c r="F170" s="12">
        <v>300</v>
      </c>
      <c r="G170" s="46">
        <v>1500</v>
      </c>
      <c r="H170" s="46">
        <f t="shared" si="8"/>
        <v>450000</v>
      </c>
    </row>
    <row r="171" spans="1:8" x14ac:dyDescent="0.25">
      <c r="A171" s="201" t="s">
        <v>56</v>
      </c>
      <c r="B171" s="202"/>
      <c r="C171" s="203"/>
      <c r="D171" s="33" t="s">
        <v>52</v>
      </c>
      <c r="E171" s="12" t="s">
        <v>6</v>
      </c>
      <c r="F171" s="12">
        <v>300</v>
      </c>
      <c r="G171" s="46">
        <v>1500</v>
      </c>
      <c r="H171" s="46">
        <f t="shared" si="8"/>
        <v>450000</v>
      </c>
    </row>
    <row r="172" spans="1:8" x14ac:dyDescent="0.25">
      <c r="A172" s="201" t="s">
        <v>57</v>
      </c>
      <c r="B172" s="202"/>
      <c r="C172" s="203"/>
      <c r="D172" s="33" t="s">
        <v>52</v>
      </c>
      <c r="E172" s="12" t="s">
        <v>6</v>
      </c>
      <c r="F172" s="12">
        <v>250</v>
      </c>
      <c r="G172" s="46">
        <v>2000</v>
      </c>
      <c r="H172" s="46">
        <f t="shared" si="8"/>
        <v>500000</v>
      </c>
    </row>
    <row r="173" spans="1:8" x14ac:dyDescent="0.25">
      <c r="A173" s="201" t="s">
        <v>51</v>
      </c>
      <c r="B173" s="202"/>
      <c r="C173" s="203"/>
      <c r="D173" s="33" t="s">
        <v>219</v>
      </c>
      <c r="E173" s="12" t="s">
        <v>6</v>
      </c>
      <c r="F173" s="12">
        <v>50</v>
      </c>
      <c r="G173" s="46">
        <v>40000</v>
      </c>
      <c r="H173" s="46">
        <f t="shared" si="8"/>
        <v>2000000</v>
      </c>
    </row>
    <row r="174" spans="1:8" x14ac:dyDescent="0.25">
      <c r="A174" s="201" t="s">
        <v>220</v>
      </c>
      <c r="B174" s="202"/>
      <c r="C174" s="203"/>
      <c r="D174" s="33" t="s">
        <v>219</v>
      </c>
      <c r="E174" s="12" t="s">
        <v>6</v>
      </c>
      <c r="F174" s="12">
        <v>30</v>
      </c>
      <c r="G174" s="46">
        <v>5000</v>
      </c>
      <c r="H174" s="46">
        <f t="shared" si="8"/>
        <v>150000</v>
      </c>
    </row>
    <row r="175" spans="1:8" x14ac:dyDescent="0.25">
      <c r="A175" s="201" t="s">
        <v>55</v>
      </c>
      <c r="B175" s="202"/>
      <c r="C175" s="203"/>
      <c r="D175" s="33" t="s">
        <v>219</v>
      </c>
      <c r="E175" s="12" t="s">
        <v>6</v>
      </c>
      <c r="F175" s="12">
        <v>30</v>
      </c>
      <c r="G175" s="46">
        <v>4000</v>
      </c>
      <c r="H175" s="46">
        <f t="shared" si="8"/>
        <v>120000</v>
      </c>
    </row>
    <row r="176" spans="1:8" x14ac:dyDescent="0.25">
      <c r="A176" s="201" t="s">
        <v>54</v>
      </c>
      <c r="B176" s="202"/>
      <c r="C176" s="203"/>
      <c r="D176" s="33" t="s">
        <v>219</v>
      </c>
      <c r="E176" s="12" t="s">
        <v>6</v>
      </c>
      <c r="F176" s="12">
        <v>30</v>
      </c>
      <c r="G176" s="46">
        <v>5000</v>
      </c>
      <c r="H176" s="46">
        <f t="shared" si="8"/>
        <v>150000</v>
      </c>
    </row>
    <row r="177" spans="1:8" x14ac:dyDescent="0.25">
      <c r="A177" s="201" t="s">
        <v>221</v>
      </c>
      <c r="B177" s="202"/>
      <c r="C177" s="203"/>
      <c r="D177" s="33" t="s">
        <v>219</v>
      </c>
      <c r="E177" s="12" t="s">
        <v>6</v>
      </c>
      <c r="F177" s="12">
        <v>30</v>
      </c>
      <c r="G177" s="46">
        <v>4000</v>
      </c>
      <c r="H177" s="46">
        <f t="shared" si="8"/>
        <v>120000</v>
      </c>
    </row>
    <row r="178" spans="1:8" x14ac:dyDescent="0.25">
      <c r="A178" s="201" t="s">
        <v>57</v>
      </c>
      <c r="B178" s="202"/>
      <c r="C178" s="203"/>
      <c r="D178" s="33" t="s">
        <v>219</v>
      </c>
      <c r="E178" s="12" t="s">
        <v>6</v>
      </c>
      <c r="F178" s="12">
        <v>30</v>
      </c>
      <c r="G178" s="46">
        <v>11000</v>
      </c>
      <c r="H178" s="46">
        <f t="shared" si="8"/>
        <v>330000</v>
      </c>
    </row>
    <row r="179" spans="1:8" s="9" customFormat="1" ht="15" customHeight="1" x14ac:dyDescent="0.25">
      <c r="A179" s="195" t="s">
        <v>16</v>
      </c>
      <c r="B179" s="196"/>
      <c r="C179" s="196"/>
      <c r="D179" s="196"/>
      <c r="E179" s="196"/>
      <c r="F179" s="196"/>
      <c r="G179" s="197"/>
      <c r="H179" s="47">
        <v>6500000</v>
      </c>
    </row>
    <row r="180" spans="1:8" x14ac:dyDescent="0.25">
      <c r="A180" s="182" t="s">
        <v>10</v>
      </c>
      <c r="B180" s="182"/>
      <c r="C180" s="182"/>
      <c r="D180" s="182"/>
      <c r="E180" s="182"/>
      <c r="F180" s="182"/>
      <c r="G180" s="182"/>
      <c r="H180" s="53">
        <f>SUM(H155:H179)</f>
        <v>22135000</v>
      </c>
    </row>
    <row r="181" spans="1:8" x14ac:dyDescent="0.25">
      <c r="A181" s="31"/>
      <c r="B181" s="31"/>
      <c r="C181" s="31"/>
      <c r="D181" s="31"/>
      <c r="E181" s="25"/>
      <c r="F181" s="25"/>
      <c r="G181" s="57"/>
      <c r="H181" s="57"/>
    </row>
    <row r="182" spans="1:8" x14ac:dyDescent="0.25">
      <c r="A182" s="153" t="s">
        <v>278</v>
      </c>
      <c r="B182" s="153"/>
      <c r="C182" s="153"/>
      <c r="D182" s="153"/>
      <c r="E182" s="153"/>
      <c r="F182" s="153"/>
      <c r="G182" s="153"/>
      <c r="H182" s="153"/>
    </row>
    <row r="183" spans="1:8" x14ac:dyDescent="0.25">
      <c r="A183" s="133" t="s">
        <v>193</v>
      </c>
      <c r="B183" s="134"/>
      <c r="C183" s="134"/>
      <c r="D183" s="135"/>
      <c r="E183" s="12" t="s">
        <v>18</v>
      </c>
      <c r="F183" s="12">
        <v>57</v>
      </c>
      <c r="G183" s="46">
        <v>253000</v>
      </c>
      <c r="H183" s="46">
        <f t="shared" ref="H183:H185" si="9">PRODUCT(G183,F183)</f>
        <v>14421000</v>
      </c>
    </row>
    <row r="184" spans="1:8" x14ac:dyDescent="0.25">
      <c r="A184" s="133" t="s">
        <v>58</v>
      </c>
      <c r="B184" s="134"/>
      <c r="C184" s="135"/>
      <c r="D184" s="12" t="s">
        <v>59</v>
      </c>
      <c r="E184" s="12" t="s">
        <v>60</v>
      </c>
      <c r="F184" s="12">
        <v>15</v>
      </c>
      <c r="G184" s="46">
        <v>10000</v>
      </c>
      <c r="H184" s="46">
        <f t="shared" si="9"/>
        <v>150000</v>
      </c>
    </row>
    <row r="185" spans="1:8" s="9" customFormat="1" x14ac:dyDescent="0.25">
      <c r="A185" s="133" t="s">
        <v>16</v>
      </c>
      <c r="B185" s="134"/>
      <c r="C185" s="134"/>
      <c r="D185" s="134"/>
      <c r="E185" s="135"/>
      <c r="F185" s="12">
        <f>F183</f>
        <v>57</v>
      </c>
      <c r="G185" s="46">
        <v>80000</v>
      </c>
      <c r="H185" s="46">
        <f t="shared" si="9"/>
        <v>4560000</v>
      </c>
    </row>
    <row r="186" spans="1:8" s="9" customFormat="1" ht="15" customHeight="1" x14ac:dyDescent="0.25">
      <c r="A186" s="195" t="s">
        <v>168</v>
      </c>
      <c r="B186" s="196"/>
      <c r="C186" s="196"/>
      <c r="D186" s="197"/>
      <c r="E186" s="16" t="s">
        <v>4</v>
      </c>
      <c r="F186" s="16">
        <v>7</v>
      </c>
      <c r="G186" s="47">
        <v>10000</v>
      </c>
      <c r="H186" s="47">
        <f>F186*G186</f>
        <v>70000</v>
      </c>
    </row>
    <row r="187" spans="1:8" x14ac:dyDescent="0.25">
      <c r="A187" s="182" t="s">
        <v>10</v>
      </c>
      <c r="B187" s="182"/>
      <c r="C187" s="182"/>
      <c r="D187" s="182"/>
      <c r="E187" s="182"/>
      <c r="F187" s="182"/>
      <c r="G187" s="182"/>
      <c r="H187" s="53">
        <f>SUM(H183:H186)</f>
        <v>19201000</v>
      </c>
    </row>
    <row r="188" spans="1:8" x14ac:dyDescent="0.25">
      <c r="A188" s="25"/>
      <c r="B188" s="25"/>
      <c r="C188" s="25"/>
      <c r="D188" s="25"/>
      <c r="E188" s="25"/>
      <c r="F188" s="25"/>
      <c r="G188" s="57"/>
      <c r="H188" s="57"/>
    </row>
    <row r="189" spans="1:8" ht="14.4" customHeight="1" x14ac:dyDescent="0.25">
      <c r="A189" s="132" t="s">
        <v>228</v>
      </c>
      <c r="B189" s="132"/>
      <c r="C189" s="132"/>
      <c r="D189" s="132"/>
      <c r="E189" s="132"/>
      <c r="F189" s="132"/>
      <c r="G189" s="132"/>
      <c r="H189" s="59">
        <f>SUM(H187,H180,H152,H137,H126)</f>
        <v>92018400</v>
      </c>
    </row>
    <row r="190" spans="1:8" ht="14.4" customHeight="1" x14ac:dyDescent="0.25">
      <c r="A190" s="105"/>
      <c r="B190" s="105"/>
      <c r="C190" s="105"/>
      <c r="D190" s="105"/>
      <c r="E190" s="105"/>
      <c r="F190" s="105"/>
      <c r="G190" s="105"/>
      <c r="H190" s="59"/>
    </row>
    <row r="191" spans="1:8" x14ac:dyDescent="0.25">
      <c r="A191" s="153" t="s">
        <v>321</v>
      </c>
      <c r="B191" s="153"/>
      <c r="C191" s="153"/>
      <c r="D191" s="153"/>
      <c r="E191" s="153"/>
      <c r="F191" s="153"/>
      <c r="G191" s="153"/>
      <c r="H191" s="153"/>
    </row>
    <row r="192" spans="1:8" x14ac:dyDescent="0.25">
      <c r="A192" s="133" t="s">
        <v>34</v>
      </c>
      <c r="B192" s="134"/>
      <c r="C192" s="134"/>
      <c r="D192" s="135"/>
      <c r="E192" s="12" t="s">
        <v>26</v>
      </c>
      <c r="F192" s="12">
        <v>2490</v>
      </c>
      <c r="G192" s="46">
        <v>1500</v>
      </c>
      <c r="H192" s="46">
        <f>PRODUCT(G192,F192)</f>
        <v>3735000</v>
      </c>
    </row>
    <row r="193" spans="1:8" x14ac:dyDescent="0.25">
      <c r="A193" s="133" t="s">
        <v>20</v>
      </c>
      <c r="B193" s="134"/>
      <c r="C193" s="134"/>
      <c r="D193" s="135"/>
      <c r="E193" s="12" t="s">
        <v>26</v>
      </c>
      <c r="F193" s="12">
        <v>52</v>
      </c>
      <c r="G193" s="46">
        <v>17500</v>
      </c>
      <c r="H193" s="46">
        <f>PRODUCT(G193,F193)</f>
        <v>910000</v>
      </c>
    </row>
    <row r="194" spans="1:8" x14ac:dyDescent="0.25">
      <c r="A194" s="133" t="s">
        <v>19</v>
      </c>
      <c r="B194" s="134"/>
      <c r="C194" s="134"/>
      <c r="D194" s="135"/>
      <c r="E194" s="12" t="s">
        <v>18</v>
      </c>
      <c r="F194" s="12">
        <v>14</v>
      </c>
      <c r="G194" s="46">
        <v>22500</v>
      </c>
      <c r="H194" s="46">
        <f>PRODUCT(G194,F194)</f>
        <v>315000</v>
      </c>
    </row>
    <row r="195" spans="1:8" s="9" customFormat="1" x14ac:dyDescent="0.25">
      <c r="A195" s="195" t="s">
        <v>22</v>
      </c>
      <c r="B195" s="196"/>
      <c r="C195" s="196"/>
      <c r="D195" s="197"/>
      <c r="E195" s="16"/>
      <c r="F195" s="16">
        <f>F192</f>
        <v>2490</v>
      </c>
      <c r="G195" s="47">
        <v>900</v>
      </c>
      <c r="H195" s="47">
        <f>F195*G195</f>
        <v>2241000</v>
      </c>
    </row>
    <row r="196" spans="1:8" x14ac:dyDescent="0.25">
      <c r="A196" s="182" t="s">
        <v>10</v>
      </c>
      <c r="B196" s="182"/>
      <c r="C196" s="182"/>
      <c r="D196" s="182"/>
      <c r="E196" s="182"/>
      <c r="F196" s="182"/>
      <c r="G196" s="182"/>
      <c r="H196" s="53">
        <f>SUM(H192:H195)</f>
        <v>7201000</v>
      </c>
    </row>
    <row r="197" spans="1:8" x14ac:dyDescent="0.25">
      <c r="A197" s="17"/>
      <c r="B197" s="17"/>
      <c r="C197" s="17"/>
      <c r="D197" s="17"/>
      <c r="E197" s="17"/>
      <c r="F197" s="17"/>
      <c r="G197" s="49"/>
      <c r="H197" s="49"/>
    </row>
    <row r="198" spans="1:8" x14ac:dyDescent="0.25">
      <c r="A198" s="211" t="s">
        <v>320</v>
      </c>
      <c r="B198" s="211"/>
      <c r="C198" s="211"/>
      <c r="D198" s="211"/>
      <c r="E198" s="211"/>
      <c r="F198" s="211"/>
      <c r="G198" s="211"/>
      <c r="H198" s="211"/>
    </row>
    <row r="199" spans="1:8" x14ac:dyDescent="0.25">
      <c r="A199" s="195" t="s">
        <v>35</v>
      </c>
      <c r="B199" s="196"/>
      <c r="C199" s="197"/>
      <c r="D199" s="12" t="s">
        <v>36</v>
      </c>
      <c r="E199" s="12" t="s">
        <v>3</v>
      </c>
      <c r="F199" s="12">
        <v>65</v>
      </c>
      <c r="G199" s="46">
        <v>3000</v>
      </c>
      <c r="H199" s="46">
        <f t="shared" ref="H199:H204" si="10">PRODUCT(G199,F199)</f>
        <v>195000</v>
      </c>
    </row>
    <row r="200" spans="1:8" x14ac:dyDescent="0.25">
      <c r="A200" s="213"/>
      <c r="B200" s="214"/>
      <c r="C200" s="215"/>
      <c r="D200" s="12" t="s">
        <v>37</v>
      </c>
      <c r="E200" s="12" t="s">
        <v>3</v>
      </c>
      <c r="F200" s="12">
        <v>65</v>
      </c>
      <c r="G200" s="46">
        <v>3000</v>
      </c>
      <c r="H200" s="46">
        <f t="shared" si="10"/>
        <v>195000</v>
      </c>
    </row>
    <row r="201" spans="1:8" x14ac:dyDescent="0.25">
      <c r="A201" s="195" t="s">
        <v>31</v>
      </c>
      <c r="B201" s="196"/>
      <c r="C201" s="197"/>
      <c r="D201" s="12" t="s">
        <v>38</v>
      </c>
      <c r="E201" s="12" t="s">
        <v>6</v>
      </c>
      <c r="F201" s="12">
        <v>670</v>
      </c>
      <c r="G201" s="46">
        <v>23000</v>
      </c>
      <c r="H201" s="46">
        <f t="shared" si="10"/>
        <v>15410000</v>
      </c>
    </row>
    <row r="202" spans="1:8" x14ac:dyDescent="0.25">
      <c r="A202" s="116"/>
      <c r="B202" s="117"/>
      <c r="C202" s="118"/>
      <c r="D202" s="12" t="s">
        <v>275</v>
      </c>
      <c r="E202" s="12" t="s">
        <v>6</v>
      </c>
      <c r="F202" s="12">
        <v>0</v>
      </c>
      <c r="G202" s="46">
        <v>40000</v>
      </c>
      <c r="H202" s="46">
        <f t="shared" si="10"/>
        <v>0</v>
      </c>
    </row>
    <row r="203" spans="1:8" x14ac:dyDescent="0.25">
      <c r="A203" s="216"/>
      <c r="B203" s="217"/>
      <c r="C203" s="218"/>
      <c r="D203" s="12" t="s">
        <v>23</v>
      </c>
      <c r="E203" s="12" t="s">
        <v>6</v>
      </c>
      <c r="F203" s="12">
        <v>154</v>
      </c>
      <c r="G203" s="46">
        <v>13000</v>
      </c>
      <c r="H203" s="46">
        <f t="shared" si="10"/>
        <v>2002000</v>
      </c>
    </row>
    <row r="204" spans="1:8" x14ac:dyDescent="0.25">
      <c r="A204" s="133" t="s">
        <v>16</v>
      </c>
      <c r="B204" s="134"/>
      <c r="C204" s="134"/>
      <c r="D204" s="135"/>
      <c r="E204" s="12"/>
      <c r="F204" s="12">
        <f>SUM(F201:F203)</f>
        <v>824</v>
      </c>
      <c r="G204" s="46">
        <v>9600</v>
      </c>
      <c r="H204" s="46">
        <f t="shared" si="10"/>
        <v>7910400</v>
      </c>
    </row>
    <row r="205" spans="1:8" x14ac:dyDescent="0.25">
      <c r="A205" s="133" t="s">
        <v>40</v>
      </c>
      <c r="B205" s="134"/>
      <c r="C205" s="134"/>
      <c r="D205" s="135"/>
      <c r="E205" s="12" t="s">
        <v>6</v>
      </c>
      <c r="F205" s="23">
        <v>10</v>
      </c>
      <c r="G205" s="46">
        <v>14000</v>
      </c>
      <c r="H205" s="46">
        <f>F205*G205</f>
        <v>140000</v>
      </c>
    </row>
    <row r="206" spans="1:8" x14ac:dyDescent="0.25">
      <c r="A206" s="133" t="s">
        <v>41</v>
      </c>
      <c r="B206" s="134"/>
      <c r="C206" s="134"/>
      <c r="D206" s="135"/>
      <c r="E206" s="12" t="s">
        <v>33</v>
      </c>
      <c r="F206" s="23">
        <v>2</v>
      </c>
      <c r="G206" s="46">
        <v>50000</v>
      </c>
      <c r="H206" s="46">
        <f>PRODUCT(G206,F206)</f>
        <v>100000</v>
      </c>
    </row>
    <row r="207" spans="1:8" x14ac:dyDescent="0.25">
      <c r="A207" s="133" t="s">
        <v>232</v>
      </c>
      <c r="B207" s="134"/>
      <c r="C207" s="134"/>
      <c r="D207" s="135"/>
      <c r="E207" s="12" t="s">
        <v>231</v>
      </c>
      <c r="F207" s="12">
        <v>355</v>
      </c>
      <c r="G207" s="46">
        <v>12000</v>
      </c>
      <c r="H207" s="46">
        <f>PRODUCT(G207,F207)</f>
        <v>4260000</v>
      </c>
    </row>
    <row r="208" spans="1:8" x14ac:dyDescent="0.25">
      <c r="A208" s="133" t="s">
        <v>169</v>
      </c>
      <c r="B208" s="134"/>
      <c r="C208" s="134"/>
      <c r="D208" s="135"/>
      <c r="E208" s="12" t="s">
        <v>231</v>
      </c>
      <c r="F208" s="12">
        <f>F207</f>
        <v>355</v>
      </c>
      <c r="G208" s="46">
        <v>5200</v>
      </c>
      <c r="H208" s="46">
        <f>PRODUCT(G208,F208)</f>
        <v>1846000</v>
      </c>
    </row>
    <row r="209" spans="1:8" x14ac:dyDescent="0.25">
      <c r="A209" s="182" t="s">
        <v>10</v>
      </c>
      <c r="B209" s="182"/>
      <c r="C209" s="182"/>
      <c r="D209" s="182"/>
      <c r="E209" s="182"/>
      <c r="F209" s="182"/>
      <c r="G209" s="182"/>
      <c r="H209" s="53">
        <f>SUM(H199:H208)</f>
        <v>32058400</v>
      </c>
    </row>
    <row r="210" spans="1:8" x14ac:dyDescent="0.25">
      <c r="A210" s="17"/>
      <c r="B210" s="17"/>
      <c r="C210" s="17"/>
      <c r="D210" s="17"/>
      <c r="E210" s="17"/>
      <c r="F210" s="17"/>
      <c r="G210" s="60"/>
      <c r="H210" s="60"/>
    </row>
    <row r="211" spans="1:8" x14ac:dyDescent="0.25">
      <c r="A211" s="204" t="s">
        <v>319</v>
      </c>
      <c r="B211" s="204"/>
      <c r="C211" s="204"/>
      <c r="D211" s="204"/>
      <c r="E211" s="204"/>
      <c r="F211" s="204"/>
      <c r="G211" s="204"/>
      <c r="H211" s="204"/>
    </row>
    <row r="212" spans="1:8" x14ac:dyDescent="0.25">
      <c r="A212" s="205" t="s">
        <v>42</v>
      </c>
      <c r="B212" s="206"/>
      <c r="C212" s="206"/>
      <c r="D212" s="207"/>
      <c r="E212" s="12" t="s">
        <v>6</v>
      </c>
      <c r="F212" s="12">
        <v>300</v>
      </c>
      <c r="G212" s="46">
        <v>2500</v>
      </c>
      <c r="H212" s="46">
        <f t="shared" ref="H212:H222" si="11">PRODUCT(G212,F212)</f>
        <v>750000</v>
      </c>
    </row>
    <row r="213" spans="1:8" x14ac:dyDescent="0.25">
      <c r="A213" s="201" t="s">
        <v>43</v>
      </c>
      <c r="B213" s="202"/>
      <c r="C213" s="202"/>
      <c r="D213" s="203"/>
      <c r="E213" s="12" t="s">
        <v>6</v>
      </c>
      <c r="F213" s="12">
        <v>300</v>
      </c>
      <c r="G213" s="46">
        <v>3500</v>
      </c>
      <c r="H213" s="46">
        <f t="shared" si="11"/>
        <v>1050000</v>
      </c>
    </row>
    <row r="214" spans="1:8" x14ac:dyDescent="0.25">
      <c r="A214" s="201" t="s">
        <v>44</v>
      </c>
      <c r="B214" s="202"/>
      <c r="C214" s="202"/>
      <c r="D214" s="203"/>
      <c r="E214" s="12" t="s">
        <v>6</v>
      </c>
      <c r="F214" s="12">
        <v>300</v>
      </c>
      <c r="G214" s="46">
        <v>500</v>
      </c>
      <c r="H214" s="46">
        <f t="shared" si="11"/>
        <v>150000</v>
      </c>
    </row>
    <row r="215" spans="1:8" x14ac:dyDescent="0.25">
      <c r="A215" s="201" t="s">
        <v>161</v>
      </c>
      <c r="B215" s="202"/>
      <c r="C215" s="202"/>
      <c r="D215" s="203"/>
      <c r="E215" s="12" t="s">
        <v>6</v>
      </c>
      <c r="F215" s="12">
        <v>300</v>
      </c>
      <c r="G215" s="46">
        <v>700</v>
      </c>
      <c r="H215" s="46">
        <f t="shared" si="11"/>
        <v>210000</v>
      </c>
    </row>
    <row r="216" spans="1:8" x14ac:dyDescent="0.25">
      <c r="A216" s="201" t="s">
        <v>45</v>
      </c>
      <c r="B216" s="202"/>
      <c r="C216" s="202"/>
      <c r="D216" s="203"/>
      <c r="E216" s="12" t="s">
        <v>6</v>
      </c>
      <c r="F216" s="12">
        <v>300</v>
      </c>
      <c r="G216" s="46">
        <v>3500</v>
      </c>
      <c r="H216" s="46">
        <f t="shared" si="11"/>
        <v>1050000</v>
      </c>
    </row>
    <row r="217" spans="1:8" x14ac:dyDescent="0.25">
      <c r="A217" s="201" t="s">
        <v>46</v>
      </c>
      <c r="B217" s="202"/>
      <c r="C217" s="202"/>
      <c r="D217" s="203"/>
      <c r="E217" s="12" t="s">
        <v>6</v>
      </c>
      <c r="F217" s="12">
        <v>300</v>
      </c>
      <c r="G217" s="46">
        <v>900</v>
      </c>
      <c r="H217" s="46">
        <f t="shared" si="11"/>
        <v>270000</v>
      </c>
    </row>
    <row r="218" spans="1:8" ht="27.6" customHeight="1" x14ac:dyDescent="0.25">
      <c r="A218" s="208" t="s">
        <v>162</v>
      </c>
      <c r="B218" s="209"/>
      <c r="C218" s="209"/>
      <c r="D218" s="210"/>
      <c r="E218" s="12" t="s">
        <v>6</v>
      </c>
      <c r="F218" s="12">
        <v>300</v>
      </c>
      <c r="G218" s="46">
        <v>2000</v>
      </c>
      <c r="H218" s="46">
        <f t="shared" si="11"/>
        <v>600000</v>
      </c>
    </row>
    <row r="219" spans="1:8" x14ac:dyDescent="0.25">
      <c r="A219" s="201" t="s">
        <v>47</v>
      </c>
      <c r="B219" s="202"/>
      <c r="C219" s="202"/>
      <c r="D219" s="203"/>
      <c r="E219" s="12" t="s">
        <v>6</v>
      </c>
      <c r="F219" s="12">
        <v>5</v>
      </c>
      <c r="G219" s="46">
        <v>5000</v>
      </c>
      <c r="H219" s="46">
        <f t="shared" si="11"/>
        <v>25000</v>
      </c>
    </row>
    <row r="220" spans="1:8" x14ac:dyDescent="0.25">
      <c r="A220" s="201" t="s">
        <v>48</v>
      </c>
      <c r="B220" s="202"/>
      <c r="C220" s="202"/>
      <c r="D220" s="203"/>
      <c r="E220" s="12" t="s">
        <v>3</v>
      </c>
      <c r="F220" s="12">
        <v>25</v>
      </c>
      <c r="G220" s="46">
        <v>2000</v>
      </c>
      <c r="H220" s="46">
        <f t="shared" si="11"/>
        <v>50000</v>
      </c>
    </row>
    <row r="221" spans="1:8" x14ac:dyDescent="0.25">
      <c r="A221" s="201" t="s">
        <v>49</v>
      </c>
      <c r="B221" s="202"/>
      <c r="C221" s="202"/>
      <c r="D221" s="203"/>
      <c r="E221" s="12" t="s">
        <v>3</v>
      </c>
      <c r="F221" s="12">
        <v>20</v>
      </c>
      <c r="G221" s="46">
        <v>5000</v>
      </c>
      <c r="H221" s="46">
        <f t="shared" si="11"/>
        <v>100000</v>
      </c>
    </row>
    <row r="222" spans="1:8" x14ac:dyDescent="0.25">
      <c r="A222" s="201" t="s">
        <v>163</v>
      </c>
      <c r="B222" s="202"/>
      <c r="C222" s="202"/>
      <c r="D222" s="203"/>
      <c r="E222" s="12" t="s">
        <v>3</v>
      </c>
      <c r="F222" s="12">
        <v>10</v>
      </c>
      <c r="G222" s="46">
        <v>10000</v>
      </c>
      <c r="H222" s="46">
        <f t="shared" si="11"/>
        <v>100000</v>
      </c>
    </row>
    <row r="223" spans="1:8" s="9" customFormat="1" ht="15" customHeight="1" x14ac:dyDescent="0.25">
      <c r="A223" s="195" t="s">
        <v>16</v>
      </c>
      <c r="B223" s="196"/>
      <c r="C223" s="196"/>
      <c r="D223" s="196"/>
      <c r="E223" s="196"/>
      <c r="F223" s="196"/>
      <c r="G223" s="197"/>
      <c r="H223" s="47">
        <v>3000000</v>
      </c>
    </row>
    <row r="224" spans="1:8" x14ac:dyDescent="0.25">
      <c r="A224" s="182" t="s">
        <v>10</v>
      </c>
      <c r="B224" s="182"/>
      <c r="C224" s="182"/>
      <c r="D224" s="182"/>
      <c r="E224" s="182"/>
      <c r="F224" s="182"/>
      <c r="G224" s="182"/>
      <c r="H224" s="53">
        <f>SUM(H212:H223)</f>
        <v>7355000</v>
      </c>
    </row>
    <row r="225" spans="1:8" x14ac:dyDescent="0.25">
      <c r="A225" s="31"/>
      <c r="B225" s="31"/>
      <c r="C225" s="31"/>
      <c r="D225" s="31"/>
      <c r="E225" s="25"/>
      <c r="F225" s="25"/>
      <c r="G225" s="57"/>
      <c r="H225" s="57"/>
    </row>
    <row r="226" spans="1:8" x14ac:dyDescent="0.25">
      <c r="A226" s="153" t="s">
        <v>318</v>
      </c>
      <c r="B226" s="153"/>
      <c r="C226" s="153"/>
      <c r="D226" s="153"/>
      <c r="E226" s="153"/>
      <c r="F226" s="153"/>
      <c r="G226" s="153"/>
      <c r="H226" s="153"/>
    </row>
    <row r="227" spans="1:8" x14ac:dyDescent="0.25">
      <c r="A227" s="133" t="s">
        <v>193</v>
      </c>
      <c r="B227" s="134"/>
      <c r="C227" s="134"/>
      <c r="D227" s="135"/>
      <c r="E227" s="12" t="s">
        <v>18</v>
      </c>
      <c r="F227" s="12">
        <v>68</v>
      </c>
      <c r="G227" s="46">
        <v>253000</v>
      </c>
      <c r="H227" s="46">
        <f t="shared" ref="H227:H229" si="12">PRODUCT(G227,F227)</f>
        <v>17204000</v>
      </c>
    </row>
    <row r="228" spans="1:8" x14ac:dyDescent="0.25">
      <c r="A228" s="133" t="s">
        <v>58</v>
      </c>
      <c r="B228" s="134"/>
      <c r="C228" s="135"/>
      <c r="D228" s="12" t="s">
        <v>59</v>
      </c>
      <c r="E228" s="12" t="s">
        <v>60</v>
      </c>
      <c r="F228" s="12">
        <v>13</v>
      </c>
      <c r="G228" s="46">
        <v>10000</v>
      </c>
      <c r="H228" s="46">
        <f t="shared" si="12"/>
        <v>130000</v>
      </c>
    </row>
    <row r="229" spans="1:8" s="9" customFormat="1" x14ac:dyDescent="0.25">
      <c r="A229" s="133" t="s">
        <v>16</v>
      </c>
      <c r="B229" s="134"/>
      <c r="C229" s="134"/>
      <c r="D229" s="134"/>
      <c r="E229" s="135"/>
      <c r="F229" s="12">
        <f>F227</f>
        <v>68</v>
      </c>
      <c r="G229" s="46">
        <v>85000</v>
      </c>
      <c r="H229" s="46">
        <f t="shared" si="12"/>
        <v>5780000</v>
      </c>
    </row>
    <row r="230" spans="1:8" s="9" customFormat="1" ht="15" customHeight="1" x14ac:dyDescent="0.25">
      <c r="A230" s="195" t="s">
        <v>168</v>
      </c>
      <c r="B230" s="196"/>
      <c r="C230" s="196"/>
      <c r="D230" s="197"/>
      <c r="E230" s="16" t="s">
        <v>4</v>
      </c>
      <c r="F230" s="16">
        <v>7</v>
      </c>
      <c r="G230" s="47">
        <v>10000</v>
      </c>
      <c r="H230" s="47">
        <f>F230*G230</f>
        <v>70000</v>
      </c>
    </row>
    <row r="231" spans="1:8" x14ac:dyDescent="0.25">
      <c r="A231" s="182" t="s">
        <v>10</v>
      </c>
      <c r="B231" s="182"/>
      <c r="C231" s="182"/>
      <c r="D231" s="182"/>
      <c r="E231" s="182"/>
      <c r="F231" s="182"/>
      <c r="G231" s="182"/>
      <c r="H231" s="53">
        <f>SUM(H227:H230)</f>
        <v>23184000</v>
      </c>
    </row>
    <row r="232" spans="1:8" x14ac:dyDescent="0.25">
      <c r="A232" s="125"/>
      <c r="B232" s="126"/>
      <c r="C232" s="126"/>
      <c r="D232" s="126"/>
      <c r="E232" s="126"/>
      <c r="F232" s="126"/>
      <c r="G232" s="126"/>
      <c r="H232" s="128"/>
    </row>
    <row r="233" spans="1:8" s="10" customFormat="1" ht="15" x14ac:dyDescent="0.3">
      <c r="A233" s="179" t="s">
        <v>286</v>
      </c>
      <c r="B233" s="180"/>
      <c r="C233" s="180"/>
      <c r="D233" s="180"/>
      <c r="E233" s="180"/>
      <c r="F233" s="180"/>
      <c r="G233" s="180"/>
      <c r="H233" s="181"/>
    </row>
    <row r="234" spans="1:8" s="10" customFormat="1" ht="15" x14ac:dyDescent="0.3">
      <c r="A234" s="127"/>
      <c r="B234" s="35" t="s">
        <v>287</v>
      </c>
      <c r="C234" s="35" t="s">
        <v>288</v>
      </c>
      <c r="D234" s="35"/>
      <c r="E234" s="35" t="s">
        <v>17</v>
      </c>
      <c r="F234" s="35">
        <v>690</v>
      </c>
      <c r="G234" s="62">
        <v>1500</v>
      </c>
      <c r="H234" s="62">
        <f t="shared" ref="H234:H243" si="13">G234*F234</f>
        <v>1035000</v>
      </c>
    </row>
    <row r="235" spans="1:8" s="10" customFormat="1" ht="15" x14ac:dyDescent="0.3">
      <c r="A235" s="35"/>
      <c r="B235" s="35"/>
      <c r="C235" s="35" t="s">
        <v>289</v>
      </c>
      <c r="D235" s="35"/>
      <c r="E235" s="35" t="s">
        <v>17</v>
      </c>
      <c r="F235" s="35">
        <v>221</v>
      </c>
      <c r="G235" s="62">
        <v>1500</v>
      </c>
      <c r="H235" s="62">
        <f t="shared" si="13"/>
        <v>331500</v>
      </c>
    </row>
    <row r="236" spans="1:8" s="10" customFormat="1" ht="15" x14ac:dyDescent="0.3">
      <c r="A236" s="35"/>
      <c r="B236" s="35"/>
      <c r="C236" s="35" t="s">
        <v>296</v>
      </c>
      <c r="D236" s="35"/>
      <c r="E236" s="35" t="s">
        <v>17</v>
      </c>
      <c r="F236" s="35">
        <v>0</v>
      </c>
      <c r="G236" s="62">
        <v>1500</v>
      </c>
      <c r="H236" s="62">
        <f t="shared" si="13"/>
        <v>0</v>
      </c>
    </row>
    <row r="237" spans="1:8" s="10" customFormat="1" ht="15" x14ac:dyDescent="0.3">
      <c r="A237" s="35"/>
      <c r="B237" s="35"/>
      <c r="C237" s="133" t="s">
        <v>290</v>
      </c>
      <c r="D237" s="135"/>
      <c r="E237" s="35" t="s">
        <v>191</v>
      </c>
      <c r="F237" s="35">
        <v>114</v>
      </c>
      <c r="G237" s="62">
        <v>16000</v>
      </c>
      <c r="H237" s="62">
        <f t="shared" si="13"/>
        <v>1824000</v>
      </c>
    </row>
    <row r="238" spans="1:8" s="10" customFormat="1" ht="15" x14ac:dyDescent="0.3">
      <c r="A238" s="35"/>
      <c r="B238" s="35" t="s">
        <v>2</v>
      </c>
      <c r="C238" s="35" t="s">
        <v>36</v>
      </c>
      <c r="D238" s="35"/>
      <c r="E238" s="35" t="s">
        <v>3</v>
      </c>
      <c r="F238" s="35">
        <v>25</v>
      </c>
      <c r="G238" s="62">
        <v>3000</v>
      </c>
      <c r="H238" s="62">
        <f t="shared" si="13"/>
        <v>75000</v>
      </c>
    </row>
    <row r="239" spans="1:8" s="10" customFormat="1" ht="15" x14ac:dyDescent="0.3">
      <c r="A239" s="35"/>
      <c r="B239" s="35" t="s">
        <v>2</v>
      </c>
      <c r="C239" s="35" t="s">
        <v>214</v>
      </c>
      <c r="D239" s="35" t="s">
        <v>291</v>
      </c>
      <c r="E239" s="35" t="s">
        <v>3</v>
      </c>
      <c r="F239" s="35">
        <v>25</v>
      </c>
      <c r="G239" s="62">
        <v>3000</v>
      </c>
      <c r="H239" s="62">
        <f t="shared" si="13"/>
        <v>75000</v>
      </c>
    </row>
    <row r="240" spans="1:8" s="10" customFormat="1" ht="15" x14ac:dyDescent="0.3">
      <c r="A240" s="35"/>
      <c r="B240" s="35" t="s">
        <v>292</v>
      </c>
      <c r="C240" s="35"/>
      <c r="D240" s="35"/>
      <c r="E240" s="35" t="s">
        <v>6</v>
      </c>
      <c r="F240" s="35">
        <v>0</v>
      </c>
      <c r="G240" s="62">
        <v>12000</v>
      </c>
      <c r="H240" s="62">
        <f t="shared" si="13"/>
        <v>0</v>
      </c>
    </row>
    <row r="241" spans="1:8" s="10" customFormat="1" ht="15" x14ac:dyDescent="0.3">
      <c r="A241" s="35"/>
      <c r="B241" s="35" t="s">
        <v>293</v>
      </c>
      <c r="C241" s="35"/>
      <c r="D241" s="35"/>
      <c r="E241" s="35" t="s">
        <v>6</v>
      </c>
      <c r="F241" s="35">
        <v>5</v>
      </c>
      <c r="G241" s="62">
        <v>12000</v>
      </c>
      <c r="H241" s="62">
        <f t="shared" si="13"/>
        <v>60000</v>
      </c>
    </row>
    <row r="242" spans="1:8" s="10" customFormat="1" ht="15" x14ac:dyDescent="0.3">
      <c r="A242" s="35"/>
      <c r="B242" s="35" t="s">
        <v>294</v>
      </c>
      <c r="C242" s="35"/>
      <c r="D242" s="35"/>
      <c r="E242" s="35" t="s">
        <v>92</v>
      </c>
      <c r="F242" s="35">
        <v>1</v>
      </c>
      <c r="G242" s="62">
        <v>15000</v>
      </c>
      <c r="H242" s="62">
        <f t="shared" si="13"/>
        <v>15000</v>
      </c>
    </row>
    <row r="243" spans="1:8" s="10" customFormat="1" ht="15" x14ac:dyDescent="0.3">
      <c r="A243" s="35"/>
      <c r="B243" s="35" t="s">
        <v>295</v>
      </c>
      <c r="C243" s="35"/>
      <c r="D243" s="35"/>
      <c r="E243" s="35" t="s">
        <v>92</v>
      </c>
      <c r="F243" s="35">
        <v>1</v>
      </c>
      <c r="G243" s="62">
        <v>140000</v>
      </c>
      <c r="H243" s="62">
        <f t="shared" si="13"/>
        <v>140000</v>
      </c>
    </row>
    <row r="244" spans="1:8" s="10" customFormat="1" ht="15" x14ac:dyDescent="0.3">
      <c r="A244" s="35"/>
      <c r="B244" s="35" t="s">
        <v>16</v>
      </c>
      <c r="C244" s="35"/>
      <c r="D244" s="35"/>
      <c r="E244" s="35"/>
      <c r="F244" s="127"/>
      <c r="G244" s="62"/>
      <c r="H244" s="62">
        <v>2000000</v>
      </c>
    </row>
    <row r="245" spans="1:8" s="10" customFormat="1" ht="15" x14ac:dyDescent="0.3">
      <c r="A245" s="198" t="s">
        <v>10</v>
      </c>
      <c r="B245" s="199"/>
      <c r="C245" s="199"/>
      <c r="D245" s="199"/>
      <c r="E245" s="199"/>
      <c r="F245" s="199"/>
      <c r="G245" s="200"/>
      <c r="H245" s="79">
        <f>SUM(H234:H244)</f>
        <v>5555500</v>
      </c>
    </row>
    <row r="246" spans="1:8" x14ac:dyDescent="0.25">
      <c r="A246" s="25"/>
      <c r="B246" s="25"/>
      <c r="C246" s="25"/>
      <c r="D246" s="25"/>
      <c r="E246" s="25"/>
      <c r="F246" s="25"/>
      <c r="G246" s="57"/>
      <c r="H246" s="57"/>
    </row>
    <row r="247" spans="1:8" ht="14.4" customHeight="1" x14ac:dyDescent="0.25">
      <c r="A247" s="132" t="s">
        <v>284</v>
      </c>
      <c r="B247" s="132"/>
      <c r="C247" s="132"/>
      <c r="D247" s="132"/>
      <c r="E247" s="132"/>
      <c r="F247" s="132"/>
      <c r="G247" s="132"/>
      <c r="H247" s="59">
        <f>SUM(H245,H231,H224,H209,H196)</f>
        <v>75353900</v>
      </c>
    </row>
    <row r="248" spans="1:8" x14ac:dyDescent="0.25">
      <c r="A248" s="36"/>
      <c r="B248" s="36"/>
      <c r="C248" s="36"/>
      <c r="D248" s="36"/>
      <c r="E248" s="36"/>
      <c r="F248" s="36"/>
      <c r="G248" s="64"/>
      <c r="H248" s="63"/>
    </row>
    <row r="249" spans="1:8" x14ac:dyDescent="0.25">
      <c r="A249" s="237" t="s">
        <v>229</v>
      </c>
      <c r="B249" s="237"/>
      <c r="C249" s="237"/>
      <c r="D249" s="237"/>
      <c r="E249" s="237"/>
      <c r="F249" s="237"/>
      <c r="G249" s="237"/>
      <c r="H249" s="63">
        <f>SUM(H247,H189,H119,H62)</f>
        <v>292987400</v>
      </c>
    </row>
    <row r="250" spans="1:8" x14ac:dyDescent="0.25">
      <c r="A250" s="34"/>
      <c r="B250" s="34"/>
      <c r="C250" s="37"/>
      <c r="D250" s="34"/>
      <c r="E250" s="34"/>
      <c r="F250" s="34"/>
      <c r="G250" s="59"/>
      <c r="H250" s="59"/>
    </row>
    <row r="251" spans="1:8" x14ac:dyDescent="0.25">
      <c r="A251" s="25"/>
      <c r="B251" s="25"/>
      <c r="C251" s="31"/>
      <c r="D251" s="25"/>
      <c r="E251" s="25"/>
      <c r="F251" s="25"/>
      <c r="G251" s="57"/>
      <c r="H251" s="57"/>
    </row>
    <row r="252" spans="1:8" x14ac:dyDescent="0.25">
      <c r="A252" s="132" t="s">
        <v>62</v>
      </c>
      <c r="B252" s="132"/>
      <c r="C252" s="132"/>
      <c r="D252" s="132"/>
      <c r="E252" s="132"/>
      <c r="F252" s="132"/>
      <c r="G252" s="132"/>
      <c r="H252" s="132"/>
    </row>
    <row r="253" spans="1:8" x14ac:dyDescent="0.25">
      <c r="A253" s="223" t="s">
        <v>241</v>
      </c>
      <c r="B253" s="223"/>
      <c r="C253" s="223"/>
      <c r="D253" s="223"/>
      <c r="E253" s="223"/>
      <c r="F253" s="223"/>
      <c r="G253" s="223"/>
      <c r="H253" s="223"/>
    </row>
    <row r="254" spans="1:8" s="10" customFormat="1" ht="15" x14ac:dyDescent="0.3">
      <c r="A254" s="179" t="s">
        <v>204</v>
      </c>
      <c r="B254" s="180"/>
      <c r="C254" s="180"/>
      <c r="D254" s="180"/>
      <c r="E254" s="180"/>
      <c r="F254" s="180"/>
      <c r="G254" s="180"/>
      <c r="H254" s="181"/>
    </row>
    <row r="255" spans="1:8" s="10" customFormat="1" ht="15" x14ac:dyDescent="0.3">
      <c r="A255" s="35">
        <v>1.1000000000000001</v>
      </c>
      <c r="B255" s="133" t="s">
        <v>30</v>
      </c>
      <c r="C255" s="135"/>
      <c r="D255" s="35" t="s">
        <v>205</v>
      </c>
      <c r="E255" s="35" t="s">
        <v>17</v>
      </c>
      <c r="F255" s="35">
        <v>1000</v>
      </c>
      <c r="G255" s="62">
        <v>1500</v>
      </c>
      <c r="H255" s="62">
        <f>G255*F255</f>
        <v>1500000</v>
      </c>
    </row>
    <row r="256" spans="1:8" s="10" customFormat="1" ht="15" x14ac:dyDescent="0.3">
      <c r="A256" s="35">
        <v>1.2</v>
      </c>
      <c r="B256" s="133" t="s">
        <v>2</v>
      </c>
      <c r="C256" s="135"/>
      <c r="D256" s="35" t="s">
        <v>239</v>
      </c>
      <c r="E256" s="35" t="s">
        <v>238</v>
      </c>
      <c r="F256" s="35">
        <v>50</v>
      </c>
      <c r="G256" s="62">
        <v>3000</v>
      </c>
      <c r="H256" s="62">
        <f>G256*F256</f>
        <v>150000</v>
      </c>
    </row>
    <row r="257" spans="1:8" s="10" customFormat="1" ht="15" x14ac:dyDescent="0.3">
      <c r="A257" s="35">
        <v>1.3</v>
      </c>
      <c r="B257" s="133" t="s">
        <v>2</v>
      </c>
      <c r="C257" s="135"/>
      <c r="D257" s="35" t="s">
        <v>240</v>
      </c>
      <c r="E257" s="35" t="s">
        <v>238</v>
      </c>
      <c r="F257" s="35">
        <v>50</v>
      </c>
      <c r="G257" s="62">
        <v>3000</v>
      </c>
      <c r="H257" s="62">
        <f>G257*F257</f>
        <v>150000</v>
      </c>
    </row>
    <row r="258" spans="1:8" s="10" customFormat="1" ht="15" x14ac:dyDescent="0.3">
      <c r="A258" s="35">
        <v>1.4</v>
      </c>
      <c r="B258" s="133" t="s">
        <v>206</v>
      </c>
      <c r="C258" s="134"/>
      <c r="D258" s="134"/>
      <c r="E258" s="134"/>
      <c r="F258" s="134"/>
      <c r="G258" s="135"/>
      <c r="H258" s="62">
        <v>150000</v>
      </c>
    </row>
    <row r="259" spans="1:8" s="10" customFormat="1" ht="15" x14ac:dyDescent="0.3">
      <c r="A259" s="35">
        <v>1.5</v>
      </c>
      <c r="B259" s="133" t="s">
        <v>16</v>
      </c>
      <c r="C259" s="134"/>
      <c r="D259" s="134"/>
      <c r="E259" s="134"/>
      <c r="F259" s="134"/>
      <c r="G259" s="135"/>
      <c r="H259" s="62">
        <v>2500000</v>
      </c>
    </row>
    <row r="260" spans="1:8" s="10" customFormat="1" ht="15" x14ac:dyDescent="0.3">
      <c r="A260" s="182" t="s">
        <v>207</v>
      </c>
      <c r="B260" s="182"/>
      <c r="C260" s="182"/>
      <c r="D260" s="182"/>
      <c r="E260" s="182"/>
      <c r="F260" s="182"/>
      <c r="G260" s="182"/>
      <c r="H260" s="65">
        <f>SUM(H255:H259)</f>
        <v>4450000</v>
      </c>
    </row>
    <row r="261" spans="1:8" s="10" customFormat="1" ht="15.6" thickBot="1" x14ac:dyDescent="0.35">
      <c r="A261" s="38"/>
      <c r="B261" s="38"/>
      <c r="C261" s="38"/>
      <c r="D261" s="38"/>
      <c r="E261" s="38"/>
      <c r="F261" s="38"/>
      <c r="G261" s="66"/>
      <c r="H261" s="67"/>
    </row>
    <row r="262" spans="1:8" ht="14.4" thickBot="1" x14ac:dyDescent="0.3">
      <c r="A262" s="183" t="s">
        <v>197</v>
      </c>
      <c r="B262" s="184"/>
      <c r="C262" s="184"/>
      <c r="D262" s="184"/>
      <c r="E262" s="184"/>
      <c r="F262" s="184"/>
      <c r="G262" s="184"/>
      <c r="H262" s="185"/>
    </row>
    <row r="263" spans="1:8" x14ac:dyDescent="0.25">
      <c r="A263" s="186" t="s">
        <v>63</v>
      </c>
      <c r="B263" s="187"/>
      <c r="C263" s="187"/>
      <c r="D263" s="187"/>
      <c r="E263" s="187"/>
      <c r="F263" s="187"/>
      <c r="G263" s="187"/>
      <c r="H263" s="188"/>
    </row>
    <row r="264" spans="1:8" x14ac:dyDescent="0.25">
      <c r="A264" s="189" t="s">
        <v>64</v>
      </c>
      <c r="B264" s="190"/>
      <c r="C264" s="190"/>
      <c r="D264" s="191"/>
      <c r="E264" s="22"/>
      <c r="F264" s="22"/>
      <c r="G264" s="54"/>
      <c r="H264" s="54"/>
    </row>
    <row r="265" spans="1:8" x14ac:dyDescent="0.25">
      <c r="A265" s="133" t="s">
        <v>65</v>
      </c>
      <c r="B265" s="134"/>
      <c r="C265" s="134"/>
      <c r="D265" s="135"/>
      <c r="E265" s="12" t="s">
        <v>6</v>
      </c>
      <c r="F265" s="12">
        <v>50</v>
      </c>
      <c r="G265" s="46">
        <v>3000</v>
      </c>
      <c r="H265" s="46">
        <f>G265*F265</f>
        <v>150000</v>
      </c>
    </row>
    <row r="266" spans="1:8" x14ac:dyDescent="0.25">
      <c r="A266" s="133" t="s">
        <v>66</v>
      </c>
      <c r="B266" s="134"/>
      <c r="C266" s="134"/>
      <c r="D266" s="135"/>
      <c r="E266" s="12" t="s">
        <v>6</v>
      </c>
      <c r="F266" s="12">
        <v>50</v>
      </c>
      <c r="G266" s="46">
        <v>3000</v>
      </c>
      <c r="H266" s="46">
        <f>G266*F266</f>
        <v>150000</v>
      </c>
    </row>
    <row r="267" spans="1:8" x14ac:dyDescent="0.25">
      <c r="A267" s="133" t="s">
        <v>67</v>
      </c>
      <c r="B267" s="134"/>
      <c r="C267" s="134"/>
      <c r="D267" s="135"/>
      <c r="E267" s="12" t="s">
        <v>6</v>
      </c>
      <c r="F267" s="12">
        <v>250</v>
      </c>
      <c r="G267" s="46">
        <v>3000</v>
      </c>
      <c r="H267" s="46">
        <f>G267*F267</f>
        <v>750000</v>
      </c>
    </row>
    <row r="268" spans="1:8" x14ac:dyDescent="0.25">
      <c r="A268" s="133" t="s">
        <v>272</v>
      </c>
      <c r="B268" s="134"/>
      <c r="C268" s="134"/>
      <c r="D268" s="135"/>
      <c r="E268" s="12" t="s">
        <v>6</v>
      </c>
      <c r="F268" s="12">
        <v>1</v>
      </c>
      <c r="G268" s="46">
        <v>135000</v>
      </c>
      <c r="H268" s="46">
        <f>G268*F268</f>
        <v>135000</v>
      </c>
    </row>
    <row r="269" spans="1:8" x14ac:dyDescent="0.25">
      <c r="A269" s="133" t="s">
        <v>68</v>
      </c>
      <c r="B269" s="134"/>
      <c r="C269" s="134"/>
      <c r="D269" s="135"/>
      <c r="E269" s="12" t="s">
        <v>6</v>
      </c>
      <c r="F269" s="12">
        <v>200</v>
      </c>
      <c r="G269" s="46">
        <v>1400</v>
      </c>
      <c r="H269" s="46">
        <f>G269*F269</f>
        <v>280000</v>
      </c>
    </row>
    <row r="270" spans="1:8" s="9" customFormat="1" ht="14.4" thickBot="1" x14ac:dyDescent="0.3">
      <c r="A270" s="136" t="s">
        <v>69</v>
      </c>
      <c r="B270" s="137"/>
      <c r="C270" s="137"/>
      <c r="D270" s="137"/>
      <c r="E270" s="137"/>
      <c r="F270" s="137"/>
      <c r="G270" s="138"/>
      <c r="H270" s="47">
        <v>1500000</v>
      </c>
    </row>
    <row r="271" spans="1:8" ht="14.4" thickBot="1" x14ac:dyDescent="0.3">
      <c r="A271" s="139" t="s">
        <v>70</v>
      </c>
      <c r="B271" s="140"/>
      <c r="C271" s="140"/>
      <c r="D271" s="140"/>
      <c r="E271" s="140"/>
      <c r="F271" s="140"/>
      <c r="G271" s="141"/>
      <c r="H271" s="68">
        <f>SUM(H265:H270)</f>
        <v>2965000</v>
      </c>
    </row>
    <row r="272" spans="1:8" x14ac:dyDescent="0.25">
      <c r="A272" s="39"/>
      <c r="B272" s="39"/>
      <c r="C272" s="39"/>
      <c r="D272" s="39"/>
      <c r="E272" s="39"/>
      <c r="F272" s="39"/>
      <c r="G272" s="69"/>
      <c r="H272" s="70"/>
    </row>
    <row r="273" spans="1:8" x14ac:dyDescent="0.25">
      <c r="A273" s="153" t="s">
        <v>170</v>
      </c>
      <c r="B273" s="153"/>
      <c r="C273" s="153"/>
      <c r="D273" s="153"/>
      <c r="E273" s="153"/>
      <c r="F273" s="153"/>
      <c r="G273" s="153"/>
      <c r="H273" s="153"/>
    </row>
    <row r="274" spans="1:8" x14ac:dyDescent="0.25">
      <c r="A274" s="133" t="s">
        <v>71</v>
      </c>
      <c r="B274" s="134"/>
      <c r="C274" s="134"/>
      <c r="D274" s="134"/>
      <c r="E274" s="134"/>
      <c r="F274" s="134"/>
      <c r="G274" s="134"/>
      <c r="H274" s="135"/>
    </row>
    <row r="275" spans="1:8" x14ac:dyDescent="0.25">
      <c r="A275" s="12"/>
      <c r="B275" s="133" t="s">
        <v>72</v>
      </c>
      <c r="C275" s="134"/>
      <c r="D275" s="135"/>
      <c r="E275" s="12" t="s">
        <v>73</v>
      </c>
      <c r="F275" s="12">
        <v>6</v>
      </c>
      <c r="G275" s="46">
        <v>80000</v>
      </c>
      <c r="H275" s="46">
        <f>G275*F275</f>
        <v>480000</v>
      </c>
    </row>
    <row r="276" spans="1:8" x14ac:dyDescent="0.25">
      <c r="A276" s="12"/>
      <c r="B276" s="133" t="s">
        <v>74</v>
      </c>
      <c r="C276" s="134"/>
      <c r="D276" s="135"/>
      <c r="E276" s="12" t="s">
        <v>73</v>
      </c>
      <c r="F276" s="12">
        <v>6</v>
      </c>
      <c r="G276" s="46">
        <v>80000</v>
      </c>
      <c r="H276" s="46">
        <f>G276*F276</f>
        <v>480000</v>
      </c>
    </row>
    <row r="277" spans="1:8" x14ac:dyDescent="0.25">
      <c r="A277" s="12"/>
      <c r="B277" s="133" t="s">
        <v>75</v>
      </c>
      <c r="C277" s="134"/>
      <c r="D277" s="135"/>
      <c r="E277" s="12" t="s">
        <v>73</v>
      </c>
      <c r="F277" s="12">
        <v>6</v>
      </c>
      <c r="G277" s="46">
        <v>80000</v>
      </c>
      <c r="H277" s="46">
        <f>G277*F277</f>
        <v>480000</v>
      </c>
    </row>
    <row r="278" spans="1:8" x14ac:dyDescent="0.25">
      <c r="A278" s="133" t="s">
        <v>76</v>
      </c>
      <c r="B278" s="134"/>
      <c r="C278" s="134"/>
      <c r="D278" s="134"/>
      <c r="E278" s="134"/>
      <c r="F278" s="134"/>
      <c r="G278" s="134"/>
      <c r="H278" s="135"/>
    </row>
    <row r="279" spans="1:8" x14ac:dyDescent="0.25">
      <c r="A279" s="12"/>
      <c r="B279" s="133" t="s">
        <v>72</v>
      </c>
      <c r="C279" s="134"/>
      <c r="D279" s="135"/>
      <c r="E279" s="12" t="s">
        <v>73</v>
      </c>
      <c r="F279" s="12">
        <v>6</v>
      </c>
      <c r="G279" s="46">
        <v>55000</v>
      </c>
      <c r="H279" s="46">
        <f t="shared" ref="H279:H286" si="14">G279*F279</f>
        <v>330000</v>
      </c>
    </row>
    <row r="280" spans="1:8" x14ac:dyDescent="0.25">
      <c r="A280" s="12"/>
      <c r="B280" s="133" t="s">
        <v>74</v>
      </c>
      <c r="C280" s="134"/>
      <c r="D280" s="135"/>
      <c r="E280" s="12" t="s">
        <v>73</v>
      </c>
      <c r="F280" s="12">
        <v>6</v>
      </c>
      <c r="G280" s="46">
        <v>55000</v>
      </c>
      <c r="H280" s="46">
        <f t="shared" si="14"/>
        <v>330000</v>
      </c>
    </row>
    <row r="281" spans="1:8" x14ac:dyDescent="0.25">
      <c r="A281" s="12"/>
      <c r="B281" s="133" t="s">
        <v>75</v>
      </c>
      <c r="C281" s="134"/>
      <c r="D281" s="135"/>
      <c r="E281" s="12" t="s">
        <v>73</v>
      </c>
      <c r="F281" s="12">
        <v>6</v>
      </c>
      <c r="G281" s="46">
        <v>55000</v>
      </c>
      <c r="H281" s="46">
        <f t="shared" si="14"/>
        <v>330000</v>
      </c>
    </row>
    <row r="282" spans="1:8" x14ac:dyDescent="0.25">
      <c r="A282" s="133" t="s">
        <v>77</v>
      </c>
      <c r="B282" s="134"/>
      <c r="C282" s="134"/>
      <c r="D282" s="135"/>
      <c r="E282" s="12" t="s">
        <v>164</v>
      </c>
      <c r="F282" s="12">
        <v>300</v>
      </c>
      <c r="G282" s="46">
        <v>2700</v>
      </c>
      <c r="H282" s="46">
        <f t="shared" si="14"/>
        <v>810000</v>
      </c>
    </row>
    <row r="283" spans="1:8" x14ac:dyDescent="0.25">
      <c r="A283" s="133" t="s">
        <v>78</v>
      </c>
      <c r="B283" s="134"/>
      <c r="C283" s="134"/>
      <c r="D283" s="135"/>
      <c r="E283" s="12" t="s">
        <v>164</v>
      </c>
      <c r="F283" s="12">
        <v>250</v>
      </c>
      <c r="G283" s="46">
        <v>500</v>
      </c>
      <c r="H283" s="46">
        <f t="shared" si="14"/>
        <v>125000</v>
      </c>
    </row>
    <row r="284" spans="1:8" x14ac:dyDescent="0.25">
      <c r="A284" s="133" t="s">
        <v>165</v>
      </c>
      <c r="B284" s="134"/>
      <c r="C284" s="134"/>
      <c r="D284" s="135"/>
      <c r="E284" s="12" t="s">
        <v>164</v>
      </c>
      <c r="F284" s="12">
        <v>250</v>
      </c>
      <c r="G284" s="46">
        <v>500</v>
      </c>
      <c r="H284" s="46">
        <f t="shared" si="14"/>
        <v>125000</v>
      </c>
    </row>
    <row r="285" spans="1:8" x14ac:dyDescent="0.25">
      <c r="A285" s="133" t="s">
        <v>166</v>
      </c>
      <c r="B285" s="134"/>
      <c r="C285" s="134"/>
      <c r="D285" s="135"/>
      <c r="E285" s="12" t="s">
        <v>164</v>
      </c>
      <c r="F285" s="12">
        <v>250</v>
      </c>
      <c r="G285" s="46">
        <v>500</v>
      </c>
      <c r="H285" s="46">
        <f t="shared" si="14"/>
        <v>125000</v>
      </c>
    </row>
    <row r="286" spans="1:8" x14ac:dyDescent="0.25">
      <c r="A286" s="133" t="s">
        <v>79</v>
      </c>
      <c r="B286" s="134"/>
      <c r="C286" s="134"/>
      <c r="D286" s="135"/>
      <c r="E286" s="12" t="s">
        <v>80</v>
      </c>
      <c r="F286" s="12">
        <v>70</v>
      </c>
      <c r="G286" s="46">
        <v>500</v>
      </c>
      <c r="H286" s="46">
        <f t="shared" si="14"/>
        <v>35000</v>
      </c>
    </row>
    <row r="287" spans="1:8" s="9" customFormat="1" ht="14.4" thickBot="1" x14ac:dyDescent="0.3">
      <c r="A287" s="136" t="s">
        <v>81</v>
      </c>
      <c r="B287" s="137"/>
      <c r="C287" s="137"/>
      <c r="D287" s="137"/>
      <c r="E287" s="137"/>
      <c r="F287" s="137"/>
      <c r="G287" s="138"/>
      <c r="H287" s="47">
        <v>6200000</v>
      </c>
    </row>
    <row r="288" spans="1:8" ht="14.4" thickBot="1" x14ac:dyDescent="0.3">
      <c r="A288" s="139" t="s">
        <v>82</v>
      </c>
      <c r="B288" s="140"/>
      <c r="C288" s="140"/>
      <c r="D288" s="140"/>
      <c r="E288" s="140"/>
      <c r="F288" s="140"/>
      <c r="G288" s="141"/>
      <c r="H288" s="68">
        <f>SUM(H275:H287)</f>
        <v>9850000</v>
      </c>
    </row>
    <row r="289" spans="1:8" x14ac:dyDescent="0.25">
      <c r="A289" s="39"/>
      <c r="B289" s="39"/>
      <c r="C289" s="39"/>
      <c r="D289" s="39"/>
      <c r="E289" s="39"/>
      <c r="F289" s="39"/>
      <c r="G289" s="71"/>
      <c r="H289" s="72"/>
    </row>
    <row r="290" spans="1:8" x14ac:dyDescent="0.25">
      <c r="A290" s="146" t="s">
        <v>171</v>
      </c>
      <c r="B290" s="147"/>
      <c r="C290" s="147"/>
      <c r="D290" s="147"/>
      <c r="E290" s="147"/>
      <c r="F290" s="147"/>
      <c r="G290" s="147"/>
      <c r="H290" s="148"/>
    </row>
    <row r="291" spans="1:8" x14ac:dyDescent="0.25">
      <c r="A291" s="133" t="s">
        <v>172</v>
      </c>
      <c r="B291" s="134"/>
      <c r="C291" s="134"/>
      <c r="D291" s="135"/>
      <c r="E291" s="12" t="s">
        <v>6</v>
      </c>
      <c r="F291" s="12">
        <v>20</v>
      </c>
      <c r="G291" s="46">
        <v>15000</v>
      </c>
      <c r="H291" s="46">
        <f t="shared" ref="H291:H304" si="15">G291*F291</f>
        <v>300000</v>
      </c>
    </row>
    <row r="292" spans="1:8" x14ac:dyDescent="0.25">
      <c r="A292" s="133" t="s">
        <v>173</v>
      </c>
      <c r="B292" s="134"/>
      <c r="C292" s="134"/>
      <c r="D292" s="135"/>
      <c r="E292" s="12" t="s">
        <v>6</v>
      </c>
      <c r="F292" s="12">
        <v>20</v>
      </c>
      <c r="G292" s="46">
        <v>15000</v>
      </c>
      <c r="H292" s="46">
        <f t="shared" si="15"/>
        <v>300000</v>
      </c>
    </row>
    <row r="293" spans="1:8" x14ac:dyDescent="0.25">
      <c r="A293" s="133" t="s">
        <v>174</v>
      </c>
      <c r="B293" s="134"/>
      <c r="C293" s="134"/>
      <c r="D293" s="135"/>
      <c r="E293" s="12" t="s">
        <v>6</v>
      </c>
      <c r="F293" s="12">
        <v>30</v>
      </c>
      <c r="G293" s="46">
        <v>9000</v>
      </c>
      <c r="H293" s="46">
        <f t="shared" si="15"/>
        <v>270000</v>
      </c>
    </row>
    <row r="294" spans="1:8" x14ac:dyDescent="0.25">
      <c r="A294" s="133" t="s">
        <v>175</v>
      </c>
      <c r="B294" s="134"/>
      <c r="C294" s="134"/>
      <c r="D294" s="135"/>
      <c r="E294" s="12" t="s">
        <v>6</v>
      </c>
      <c r="F294" s="12">
        <v>15</v>
      </c>
      <c r="G294" s="46">
        <v>12000</v>
      </c>
      <c r="H294" s="46">
        <f t="shared" si="15"/>
        <v>180000</v>
      </c>
    </row>
    <row r="295" spans="1:8" x14ac:dyDescent="0.25">
      <c r="A295" s="133" t="s">
        <v>83</v>
      </c>
      <c r="B295" s="134"/>
      <c r="C295" s="134"/>
      <c r="D295" s="135"/>
      <c r="E295" s="12" t="s">
        <v>6</v>
      </c>
      <c r="F295" s="12">
        <v>5</v>
      </c>
      <c r="G295" s="46">
        <v>50000</v>
      </c>
      <c r="H295" s="46">
        <f t="shared" si="15"/>
        <v>250000</v>
      </c>
    </row>
    <row r="296" spans="1:8" x14ac:dyDescent="0.25">
      <c r="A296" s="133" t="s">
        <v>268</v>
      </c>
      <c r="B296" s="134"/>
      <c r="C296" s="134"/>
      <c r="D296" s="135"/>
      <c r="E296" s="12" t="s">
        <v>6</v>
      </c>
      <c r="F296" s="12">
        <v>40</v>
      </c>
      <c r="G296" s="46">
        <v>6000</v>
      </c>
      <c r="H296" s="46">
        <f t="shared" si="15"/>
        <v>240000</v>
      </c>
    </row>
    <row r="297" spans="1:8" x14ac:dyDescent="0.25">
      <c r="A297" s="133" t="s">
        <v>177</v>
      </c>
      <c r="B297" s="134"/>
      <c r="C297" s="134"/>
      <c r="D297" s="135"/>
      <c r="E297" s="12" t="s">
        <v>6</v>
      </c>
      <c r="F297" s="12">
        <v>40</v>
      </c>
      <c r="G297" s="46">
        <v>6000</v>
      </c>
      <c r="H297" s="46">
        <f t="shared" si="15"/>
        <v>240000</v>
      </c>
    </row>
    <row r="298" spans="1:8" x14ac:dyDescent="0.25">
      <c r="A298" s="133" t="s">
        <v>178</v>
      </c>
      <c r="B298" s="134"/>
      <c r="C298" s="134"/>
      <c r="D298" s="135"/>
      <c r="E298" s="12" t="s">
        <v>6</v>
      </c>
      <c r="F298" s="12">
        <v>1</v>
      </c>
      <c r="G298" s="46">
        <v>25000</v>
      </c>
      <c r="H298" s="46">
        <f t="shared" si="15"/>
        <v>25000</v>
      </c>
    </row>
    <row r="299" spans="1:8" x14ac:dyDescent="0.25">
      <c r="A299" s="133" t="s">
        <v>84</v>
      </c>
      <c r="B299" s="134"/>
      <c r="C299" s="134"/>
      <c r="D299" s="135"/>
      <c r="E299" s="12" t="s">
        <v>6</v>
      </c>
      <c r="F299" s="12">
        <v>30</v>
      </c>
      <c r="G299" s="46">
        <v>6000</v>
      </c>
      <c r="H299" s="46">
        <f t="shared" si="15"/>
        <v>180000</v>
      </c>
    </row>
    <row r="300" spans="1:8" x14ac:dyDescent="0.25">
      <c r="A300" s="133" t="s">
        <v>85</v>
      </c>
      <c r="B300" s="134"/>
      <c r="C300" s="134"/>
      <c r="D300" s="135"/>
      <c r="E300" s="12" t="s">
        <v>6</v>
      </c>
      <c r="F300" s="12">
        <v>25</v>
      </c>
      <c r="G300" s="46">
        <v>7000</v>
      </c>
      <c r="H300" s="46">
        <f t="shared" si="15"/>
        <v>175000</v>
      </c>
    </row>
    <row r="301" spans="1:8" x14ac:dyDescent="0.25">
      <c r="A301" s="133" t="s">
        <v>86</v>
      </c>
      <c r="B301" s="134"/>
      <c r="C301" s="134"/>
      <c r="D301" s="135"/>
      <c r="E301" s="12" t="s">
        <v>6</v>
      </c>
      <c r="F301" s="12">
        <v>2</v>
      </c>
      <c r="G301" s="46">
        <v>6000</v>
      </c>
      <c r="H301" s="46">
        <f t="shared" si="15"/>
        <v>12000</v>
      </c>
    </row>
    <row r="302" spans="1:8" x14ac:dyDescent="0.25">
      <c r="A302" s="133" t="s">
        <v>87</v>
      </c>
      <c r="B302" s="134"/>
      <c r="C302" s="134"/>
      <c r="D302" s="135"/>
      <c r="E302" s="12" t="s">
        <v>6</v>
      </c>
      <c r="F302" s="12">
        <v>1</v>
      </c>
      <c r="G302" s="46">
        <v>35000</v>
      </c>
      <c r="H302" s="46">
        <f t="shared" si="15"/>
        <v>35000</v>
      </c>
    </row>
    <row r="303" spans="1:8" x14ac:dyDescent="0.25">
      <c r="A303" s="133" t="s">
        <v>88</v>
      </c>
      <c r="B303" s="134"/>
      <c r="C303" s="134"/>
      <c r="D303" s="135"/>
      <c r="E303" s="12" t="s">
        <v>6</v>
      </c>
      <c r="F303" s="12">
        <v>1</v>
      </c>
      <c r="G303" s="46">
        <v>25000</v>
      </c>
      <c r="H303" s="46">
        <f t="shared" si="15"/>
        <v>25000</v>
      </c>
    </row>
    <row r="304" spans="1:8" x14ac:dyDescent="0.25">
      <c r="A304" s="133" t="s">
        <v>89</v>
      </c>
      <c r="B304" s="134"/>
      <c r="C304" s="134"/>
      <c r="D304" s="135"/>
      <c r="E304" s="12" t="s">
        <v>6</v>
      </c>
      <c r="F304" s="12">
        <v>40</v>
      </c>
      <c r="G304" s="46">
        <v>40000</v>
      </c>
      <c r="H304" s="46">
        <f t="shared" si="15"/>
        <v>1600000</v>
      </c>
    </row>
    <row r="305" spans="1:8" s="9" customFormat="1" x14ac:dyDescent="0.25">
      <c r="A305" s="133" t="s">
        <v>90</v>
      </c>
      <c r="B305" s="134"/>
      <c r="C305" s="134"/>
      <c r="D305" s="134"/>
      <c r="E305" s="134"/>
      <c r="F305" s="134"/>
      <c r="G305" s="135"/>
      <c r="H305" s="46">
        <v>2500000</v>
      </c>
    </row>
    <row r="306" spans="1:8" x14ac:dyDescent="0.25">
      <c r="A306" s="174" t="s">
        <v>91</v>
      </c>
      <c r="B306" s="175"/>
      <c r="C306" s="175"/>
      <c r="D306" s="175"/>
      <c r="E306" s="175"/>
      <c r="F306" s="175"/>
      <c r="G306" s="176"/>
      <c r="H306" s="73">
        <f>SUM(H291:H305)</f>
        <v>6332000</v>
      </c>
    </row>
    <row r="307" spans="1:8" x14ac:dyDescent="0.25">
      <c r="A307" s="39"/>
      <c r="B307" s="39"/>
      <c r="C307" s="39"/>
      <c r="D307" s="39"/>
      <c r="E307" s="39"/>
      <c r="F307" s="39"/>
      <c r="G307" s="69"/>
      <c r="H307" s="70"/>
    </row>
    <row r="308" spans="1:8" x14ac:dyDescent="0.25">
      <c r="A308" s="212" t="s">
        <v>183</v>
      </c>
      <c r="B308" s="212"/>
      <c r="C308" s="212"/>
      <c r="D308" s="212"/>
      <c r="E308" s="212"/>
      <c r="F308" s="212"/>
      <c r="G308" s="212"/>
      <c r="H308" s="212"/>
    </row>
    <row r="309" spans="1:8" x14ac:dyDescent="0.25">
      <c r="A309" s="217" t="s">
        <v>223</v>
      </c>
      <c r="B309" s="217"/>
      <c r="C309" s="217"/>
      <c r="D309" s="217"/>
      <c r="E309" s="217"/>
      <c r="F309" s="217"/>
      <c r="G309" s="217"/>
      <c r="H309" s="217"/>
    </row>
    <row r="310" spans="1:8" x14ac:dyDescent="0.25">
      <c r="A310" s="133" t="s">
        <v>184</v>
      </c>
      <c r="B310" s="134"/>
      <c r="C310" s="134"/>
      <c r="D310" s="135"/>
      <c r="E310" s="12" t="s">
        <v>17</v>
      </c>
      <c r="F310" s="12">
        <v>50</v>
      </c>
      <c r="G310" s="62">
        <v>10000</v>
      </c>
      <c r="H310" s="62">
        <f>G310*F310</f>
        <v>500000</v>
      </c>
    </row>
    <row r="311" spans="1:8" x14ac:dyDescent="0.25">
      <c r="A311" s="133" t="s">
        <v>185</v>
      </c>
      <c r="B311" s="134"/>
      <c r="C311" s="134"/>
      <c r="D311" s="135"/>
      <c r="E311" s="12" t="s">
        <v>17</v>
      </c>
      <c r="F311" s="12">
        <v>50</v>
      </c>
      <c r="G311" s="62">
        <v>5000</v>
      </c>
      <c r="H311" s="62">
        <f>G311*F311</f>
        <v>250000</v>
      </c>
    </row>
    <row r="312" spans="1:8" x14ac:dyDescent="0.25">
      <c r="A312" s="133" t="s">
        <v>186</v>
      </c>
      <c r="B312" s="134"/>
      <c r="C312" s="134"/>
      <c r="D312" s="135"/>
      <c r="E312" s="12"/>
      <c r="F312" s="12">
        <v>1</v>
      </c>
      <c r="G312" s="62">
        <v>60000</v>
      </c>
      <c r="H312" s="62">
        <f>G312*F312</f>
        <v>60000</v>
      </c>
    </row>
    <row r="313" spans="1:8" x14ac:dyDescent="0.25">
      <c r="A313" s="133" t="s">
        <v>187</v>
      </c>
      <c r="B313" s="134"/>
      <c r="C313" s="134"/>
      <c r="D313" s="135"/>
      <c r="E313" s="12" t="s">
        <v>92</v>
      </c>
      <c r="F313" s="12">
        <v>100</v>
      </c>
      <c r="G313" s="62">
        <v>5000</v>
      </c>
      <c r="H313" s="62">
        <f>G313*F313</f>
        <v>500000</v>
      </c>
    </row>
    <row r="314" spans="1:8" x14ac:dyDescent="0.25">
      <c r="A314" s="133" t="s">
        <v>188</v>
      </c>
      <c r="B314" s="134"/>
      <c r="C314" s="134"/>
      <c r="D314" s="135"/>
      <c r="E314" s="12"/>
      <c r="F314" s="12"/>
      <c r="G314" s="62"/>
      <c r="H314" s="62">
        <v>500000</v>
      </c>
    </row>
    <row r="315" spans="1:8" ht="14.4" thickBot="1" x14ac:dyDescent="0.3">
      <c r="A315" s="244" t="s">
        <v>189</v>
      </c>
      <c r="B315" s="245"/>
      <c r="C315" s="245"/>
      <c r="D315" s="245"/>
      <c r="E315" s="245"/>
      <c r="F315" s="245"/>
      <c r="G315" s="246"/>
      <c r="H315" s="65">
        <f>SUM(H310:H314)</f>
        <v>1810000</v>
      </c>
    </row>
    <row r="316" spans="1:8" x14ac:dyDescent="0.25">
      <c r="A316" s="40"/>
      <c r="B316" s="40"/>
      <c r="C316" s="40"/>
      <c r="D316" s="40"/>
      <c r="E316" s="40"/>
      <c r="F316" s="40"/>
      <c r="G316" s="74"/>
      <c r="H316" s="75"/>
    </row>
    <row r="317" spans="1:8" s="10" customFormat="1" ht="15" x14ac:dyDescent="0.3">
      <c r="A317" s="177" t="s">
        <v>208</v>
      </c>
      <c r="B317" s="178"/>
      <c r="C317" s="179" t="s">
        <v>209</v>
      </c>
      <c r="D317" s="180"/>
      <c r="E317" s="180"/>
      <c r="F317" s="180"/>
      <c r="G317" s="180"/>
      <c r="H317" s="181"/>
    </row>
    <row r="318" spans="1:8" s="10" customFormat="1" ht="15" x14ac:dyDescent="0.3">
      <c r="A318" s="35">
        <v>3.1</v>
      </c>
      <c r="B318" s="133" t="s">
        <v>210</v>
      </c>
      <c r="C318" s="134"/>
      <c r="D318" s="135"/>
      <c r="E318" s="35" t="s">
        <v>110</v>
      </c>
      <c r="F318" s="35">
        <v>85</v>
      </c>
      <c r="G318" s="62">
        <v>17500</v>
      </c>
      <c r="H318" s="62">
        <f>G318*F318</f>
        <v>1487500</v>
      </c>
    </row>
    <row r="319" spans="1:8" s="10" customFormat="1" ht="15" x14ac:dyDescent="0.3">
      <c r="A319" s="35">
        <v>3.3</v>
      </c>
      <c r="B319" s="133" t="s">
        <v>211</v>
      </c>
      <c r="C319" s="134"/>
      <c r="D319" s="135"/>
      <c r="E319" s="35" t="s">
        <v>212</v>
      </c>
      <c r="F319" s="35">
        <v>25</v>
      </c>
      <c r="G319" s="62">
        <v>5000</v>
      </c>
      <c r="H319" s="62">
        <f>G319*F319</f>
        <v>125000</v>
      </c>
    </row>
    <row r="320" spans="1:8" s="10" customFormat="1" ht="15" x14ac:dyDescent="0.3">
      <c r="A320" s="35">
        <v>3.6</v>
      </c>
      <c r="B320" s="133" t="s">
        <v>112</v>
      </c>
      <c r="C320" s="134"/>
      <c r="D320" s="134"/>
      <c r="E320" s="134"/>
      <c r="F320" s="134"/>
      <c r="G320" s="135"/>
      <c r="H320" s="62">
        <v>2500000</v>
      </c>
    </row>
    <row r="321" spans="1:8" s="10" customFormat="1" ht="15" x14ac:dyDescent="0.3">
      <c r="A321" s="171" t="s">
        <v>213</v>
      </c>
      <c r="B321" s="172"/>
      <c r="C321" s="172"/>
      <c r="D321" s="172"/>
      <c r="E321" s="172"/>
      <c r="F321" s="172"/>
      <c r="G321" s="173"/>
      <c r="H321" s="76">
        <f>SUM(H318:H320)</f>
        <v>4112500</v>
      </c>
    </row>
    <row r="322" spans="1:8" x14ac:dyDescent="0.25">
      <c r="A322" s="39"/>
      <c r="B322" s="39"/>
      <c r="C322" s="39"/>
      <c r="D322" s="39"/>
      <c r="E322" s="39"/>
      <c r="F322" s="39"/>
      <c r="G322" s="69"/>
      <c r="H322" s="70"/>
    </row>
    <row r="323" spans="1:8" x14ac:dyDescent="0.25">
      <c r="A323" s="247" t="s">
        <v>93</v>
      </c>
      <c r="B323" s="247"/>
      <c r="C323" s="247"/>
      <c r="D323" s="247"/>
      <c r="E323" s="247"/>
      <c r="F323" s="247"/>
      <c r="G323" s="247"/>
      <c r="H323" s="247"/>
    </row>
    <row r="324" spans="1:8" x14ac:dyDescent="0.25">
      <c r="A324" s="248" t="s">
        <v>179</v>
      </c>
      <c r="B324" s="248"/>
      <c r="C324" s="248"/>
      <c r="D324" s="248"/>
      <c r="E324" s="248"/>
      <c r="F324" s="248"/>
      <c r="G324" s="248"/>
      <c r="H324" s="248"/>
    </row>
    <row r="325" spans="1:8" x14ac:dyDescent="0.25">
      <c r="A325" s="153" t="s">
        <v>94</v>
      </c>
      <c r="B325" s="153"/>
      <c r="C325" s="153"/>
      <c r="D325" s="153"/>
      <c r="E325" s="153"/>
      <c r="F325" s="153"/>
      <c r="G325" s="153"/>
      <c r="H325" s="153"/>
    </row>
    <row r="326" spans="1:8" x14ac:dyDescent="0.25">
      <c r="A326" s="133" t="s">
        <v>95</v>
      </c>
      <c r="B326" s="134"/>
      <c r="C326" s="134"/>
      <c r="D326" s="135"/>
      <c r="E326" s="12" t="s">
        <v>6</v>
      </c>
      <c r="F326" s="12">
        <v>50</v>
      </c>
      <c r="G326" s="46">
        <v>2000</v>
      </c>
      <c r="H326" s="46">
        <f>G326*F326</f>
        <v>100000</v>
      </c>
    </row>
    <row r="327" spans="1:8" x14ac:dyDescent="0.25">
      <c r="A327" s="133" t="s">
        <v>96</v>
      </c>
      <c r="B327" s="134"/>
      <c r="C327" s="134"/>
      <c r="D327" s="135"/>
      <c r="E327" s="12" t="s">
        <v>6</v>
      </c>
      <c r="F327" s="12">
        <v>50</v>
      </c>
      <c r="G327" s="46">
        <v>1800</v>
      </c>
      <c r="H327" s="46">
        <f>G327*F327</f>
        <v>90000</v>
      </c>
    </row>
    <row r="328" spans="1:8" x14ac:dyDescent="0.25">
      <c r="A328" s="133" t="s">
        <v>97</v>
      </c>
      <c r="B328" s="134"/>
      <c r="C328" s="134"/>
      <c r="D328" s="135"/>
      <c r="E328" s="12" t="s">
        <v>6</v>
      </c>
      <c r="F328" s="12">
        <v>50</v>
      </c>
      <c r="G328" s="46">
        <v>1000</v>
      </c>
      <c r="H328" s="46">
        <f>G328*F328</f>
        <v>50000</v>
      </c>
    </row>
    <row r="329" spans="1:8" x14ac:dyDescent="0.25">
      <c r="A329" s="133" t="s">
        <v>98</v>
      </c>
      <c r="B329" s="134"/>
      <c r="C329" s="134"/>
      <c r="D329" s="135"/>
      <c r="E329" s="12" t="s">
        <v>6</v>
      </c>
      <c r="F329" s="12">
        <v>50</v>
      </c>
      <c r="G329" s="46">
        <v>18000</v>
      </c>
      <c r="H329" s="46">
        <f>G329*F329</f>
        <v>900000</v>
      </c>
    </row>
    <row r="330" spans="1:8" x14ac:dyDescent="0.25">
      <c r="A330" s="17"/>
      <c r="B330" s="17"/>
      <c r="C330" s="17"/>
      <c r="D330" s="17"/>
      <c r="E330" s="17"/>
      <c r="F330" s="17"/>
      <c r="G330" s="60"/>
      <c r="H330" s="60"/>
    </row>
    <row r="331" spans="1:8" x14ac:dyDescent="0.25">
      <c r="A331" s="153" t="s">
        <v>99</v>
      </c>
      <c r="B331" s="153"/>
      <c r="C331" s="153"/>
      <c r="D331" s="153"/>
      <c r="E331" s="153"/>
      <c r="F331" s="153"/>
      <c r="G331" s="153"/>
      <c r="H331" s="153"/>
    </row>
    <row r="332" spans="1:8" x14ac:dyDescent="0.25">
      <c r="A332" s="133" t="s">
        <v>100</v>
      </c>
      <c r="B332" s="134"/>
      <c r="C332" s="134"/>
      <c r="D332" s="135"/>
      <c r="E332" s="12" t="s">
        <v>6</v>
      </c>
      <c r="F332" s="12">
        <v>50</v>
      </c>
      <c r="G332" s="46">
        <v>2000</v>
      </c>
      <c r="H332" s="46">
        <f t="shared" ref="H332:H338" si="16">G332*F332</f>
        <v>100000</v>
      </c>
    </row>
    <row r="333" spans="1:8" x14ac:dyDescent="0.25">
      <c r="A333" s="133" t="s">
        <v>101</v>
      </c>
      <c r="B333" s="134"/>
      <c r="C333" s="134"/>
      <c r="D333" s="135"/>
      <c r="E333" s="12" t="s">
        <v>6</v>
      </c>
      <c r="F333" s="12">
        <v>50</v>
      </c>
      <c r="G333" s="46">
        <v>4000</v>
      </c>
      <c r="H333" s="46">
        <f t="shared" si="16"/>
        <v>200000</v>
      </c>
    </row>
    <row r="334" spans="1:8" x14ac:dyDescent="0.25">
      <c r="A334" s="133" t="s">
        <v>102</v>
      </c>
      <c r="B334" s="134"/>
      <c r="C334" s="134"/>
      <c r="D334" s="135"/>
      <c r="E334" s="12" t="s">
        <v>6</v>
      </c>
      <c r="F334" s="12">
        <v>50</v>
      </c>
      <c r="G334" s="46">
        <v>2000</v>
      </c>
      <c r="H334" s="46">
        <f t="shared" si="16"/>
        <v>100000</v>
      </c>
    </row>
    <row r="335" spans="1:8" x14ac:dyDescent="0.25">
      <c r="A335" s="133" t="s">
        <v>103</v>
      </c>
      <c r="B335" s="134"/>
      <c r="C335" s="134"/>
      <c r="D335" s="135"/>
      <c r="E335" s="12" t="s">
        <v>6</v>
      </c>
      <c r="F335" s="12">
        <v>50</v>
      </c>
      <c r="G335" s="46">
        <v>20000</v>
      </c>
      <c r="H335" s="46">
        <f t="shared" si="16"/>
        <v>1000000</v>
      </c>
    </row>
    <row r="336" spans="1:8" x14ac:dyDescent="0.25">
      <c r="A336" s="133" t="s">
        <v>104</v>
      </c>
      <c r="B336" s="134"/>
      <c r="C336" s="134"/>
      <c r="D336" s="135"/>
      <c r="E336" s="12" t="s">
        <v>6</v>
      </c>
      <c r="F336" s="12">
        <v>30</v>
      </c>
      <c r="G336" s="46">
        <v>35000</v>
      </c>
      <c r="H336" s="46">
        <f t="shared" si="16"/>
        <v>1050000</v>
      </c>
    </row>
    <row r="337" spans="1:8" x14ac:dyDescent="0.25">
      <c r="A337" s="133" t="s">
        <v>105</v>
      </c>
      <c r="B337" s="134"/>
      <c r="C337" s="134"/>
      <c r="D337" s="135"/>
      <c r="E337" s="12"/>
      <c r="F337" s="12">
        <v>2</v>
      </c>
      <c r="G337" s="46">
        <v>8000</v>
      </c>
      <c r="H337" s="46">
        <f t="shared" si="16"/>
        <v>16000</v>
      </c>
    </row>
    <row r="338" spans="1:8" x14ac:dyDescent="0.25">
      <c r="A338" s="133" t="s">
        <v>106</v>
      </c>
      <c r="B338" s="134"/>
      <c r="C338" s="134"/>
      <c r="D338" s="135"/>
      <c r="E338" s="12" t="s">
        <v>92</v>
      </c>
      <c r="F338" s="12">
        <v>30</v>
      </c>
      <c r="G338" s="46">
        <v>2000</v>
      </c>
      <c r="H338" s="46">
        <f t="shared" si="16"/>
        <v>60000</v>
      </c>
    </row>
    <row r="339" spans="1:8" ht="14.4" thickBot="1" x14ac:dyDescent="0.3">
      <c r="A339" s="241" t="s">
        <v>107</v>
      </c>
      <c r="B339" s="242"/>
      <c r="C339" s="242"/>
      <c r="D339" s="242"/>
      <c r="E339" s="242"/>
      <c r="F339" s="242"/>
      <c r="G339" s="243"/>
      <c r="H339" s="77">
        <v>4000000</v>
      </c>
    </row>
    <row r="340" spans="1:8" ht="14.4" thickBot="1" x14ac:dyDescent="0.3">
      <c r="A340" s="139" t="s">
        <v>108</v>
      </c>
      <c r="B340" s="140"/>
      <c r="C340" s="140"/>
      <c r="D340" s="140"/>
      <c r="E340" s="140"/>
      <c r="F340" s="140"/>
      <c r="G340" s="141"/>
      <c r="H340" s="68">
        <f>SUM(H326:H339)</f>
        <v>7666000</v>
      </c>
    </row>
    <row r="341" spans="1:8" x14ac:dyDescent="0.25">
      <c r="A341" s="39"/>
      <c r="B341" s="39"/>
      <c r="C341" s="39"/>
      <c r="D341" s="39"/>
      <c r="E341" s="39"/>
      <c r="F341" s="39"/>
      <c r="G341" s="69"/>
      <c r="H341" s="70"/>
    </row>
    <row r="342" spans="1:8" x14ac:dyDescent="0.25">
      <c r="A342" s="153" t="s">
        <v>109</v>
      </c>
      <c r="B342" s="153"/>
      <c r="C342" s="153"/>
      <c r="D342" s="153"/>
      <c r="E342" s="153"/>
      <c r="F342" s="153"/>
      <c r="G342" s="153"/>
      <c r="H342" s="153"/>
    </row>
    <row r="343" spans="1:8" x14ac:dyDescent="0.25">
      <c r="A343" s="12">
        <v>7.1</v>
      </c>
      <c r="B343" s="133" t="s">
        <v>19</v>
      </c>
      <c r="C343" s="134"/>
      <c r="D343" s="135"/>
      <c r="E343" s="12" t="s">
        <v>18</v>
      </c>
      <c r="F343" s="12">
        <v>36.5</v>
      </c>
      <c r="G343" s="46">
        <v>30000</v>
      </c>
      <c r="H343" s="46">
        <f>G343*F343</f>
        <v>1095000</v>
      </c>
    </row>
    <row r="344" spans="1:8" x14ac:dyDescent="0.25">
      <c r="A344" s="12">
        <v>7.2</v>
      </c>
      <c r="B344" s="133" t="s">
        <v>111</v>
      </c>
      <c r="C344" s="134"/>
      <c r="D344" s="135"/>
      <c r="E344" s="12" t="s">
        <v>26</v>
      </c>
      <c r="F344" s="12">
        <v>175</v>
      </c>
      <c r="G344" s="46">
        <v>17500</v>
      </c>
      <c r="H344" s="46">
        <f>G344*F344</f>
        <v>3062500</v>
      </c>
    </row>
    <row r="345" spans="1:8" s="9" customFormat="1" ht="14.4" thickBot="1" x14ac:dyDescent="0.3">
      <c r="A345" s="16">
        <v>7.3</v>
      </c>
      <c r="B345" s="136" t="s">
        <v>112</v>
      </c>
      <c r="C345" s="137"/>
      <c r="D345" s="137"/>
      <c r="E345" s="138"/>
      <c r="F345" s="16">
        <f>F343</f>
        <v>36.5</v>
      </c>
      <c r="G345" s="47">
        <v>117000</v>
      </c>
      <c r="H345" s="46">
        <f>G345*F345</f>
        <v>4270500</v>
      </c>
    </row>
    <row r="346" spans="1:8" ht="14.4" thickBot="1" x14ac:dyDescent="0.3">
      <c r="A346" s="139" t="s">
        <v>113</v>
      </c>
      <c r="B346" s="140"/>
      <c r="C346" s="140"/>
      <c r="D346" s="140"/>
      <c r="E346" s="140"/>
      <c r="F346" s="140"/>
      <c r="G346" s="141"/>
      <c r="H346" s="68">
        <f>SUM(H343:H345)</f>
        <v>8428000</v>
      </c>
    </row>
    <row r="347" spans="1:8" x14ac:dyDescent="0.25">
      <c r="A347" s="40"/>
      <c r="B347" s="40"/>
      <c r="C347" s="40"/>
      <c r="D347" s="40"/>
      <c r="E347" s="40"/>
      <c r="F347" s="40"/>
      <c r="G347" s="74"/>
      <c r="H347" s="75"/>
    </row>
    <row r="348" spans="1:8" x14ac:dyDescent="0.25">
      <c r="A348" s="170" t="s">
        <v>114</v>
      </c>
      <c r="B348" s="170"/>
      <c r="C348" s="170"/>
      <c r="D348" s="170"/>
      <c r="E348" s="170"/>
      <c r="F348" s="170"/>
      <c r="G348" s="170"/>
      <c r="H348" s="170"/>
    </row>
    <row r="349" spans="1:8" x14ac:dyDescent="0.25">
      <c r="A349" s="153" t="s">
        <v>181</v>
      </c>
      <c r="B349" s="153"/>
      <c r="C349" s="153"/>
      <c r="D349" s="153"/>
      <c r="E349" s="153"/>
      <c r="F349" s="153"/>
      <c r="G349" s="153"/>
      <c r="H349" s="153"/>
    </row>
    <row r="350" spans="1:8" ht="14.4" customHeight="1" x14ac:dyDescent="0.25">
      <c r="A350" s="12" t="s">
        <v>115</v>
      </c>
      <c r="B350" s="164" t="s">
        <v>266</v>
      </c>
      <c r="C350" s="165"/>
      <c r="D350" s="166"/>
      <c r="E350" s="12" t="s">
        <v>14</v>
      </c>
      <c r="F350" s="12">
        <v>45</v>
      </c>
      <c r="G350" s="46">
        <v>19500</v>
      </c>
      <c r="H350" s="46">
        <f t="shared" ref="H350:H358" si="17">G350*F350</f>
        <v>877500</v>
      </c>
    </row>
    <row r="351" spans="1:8" ht="14.4" customHeight="1" x14ac:dyDescent="0.25">
      <c r="A351" s="12" t="s">
        <v>117</v>
      </c>
      <c r="B351" s="133" t="s">
        <v>118</v>
      </c>
      <c r="C351" s="134"/>
      <c r="D351" s="135"/>
      <c r="E351" s="12" t="s">
        <v>119</v>
      </c>
      <c r="F351" s="12">
        <v>10</v>
      </c>
      <c r="G351" s="46">
        <v>3000</v>
      </c>
      <c r="H351" s="46">
        <f t="shared" si="17"/>
        <v>30000</v>
      </c>
    </row>
    <row r="352" spans="1:8" ht="14.4" customHeight="1" x14ac:dyDescent="0.25">
      <c r="A352" s="12" t="s">
        <v>120</v>
      </c>
      <c r="B352" s="133" t="s">
        <v>267</v>
      </c>
      <c r="C352" s="134"/>
      <c r="D352" s="135"/>
      <c r="E352" s="12" t="s">
        <v>245</v>
      </c>
      <c r="F352" s="12">
        <v>4</v>
      </c>
      <c r="G352" s="46">
        <v>7000</v>
      </c>
      <c r="H352" s="46">
        <f t="shared" si="17"/>
        <v>28000</v>
      </c>
    </row>
    <row r="353" spans="1:8" ht="14.4" customHeight="1" x14ac:dyDescent="0.25">
      <c r="A353" s="12" t="s">
        <v>121</v>
      </c>
      <c r="B353" s="133" t="s">
        <v>253</v>
      </c>
      <c r="C353" s="134"/>
      <c r="D353" s="135"/>
      <c r="E353" s="12" t="s">
        <v>14</v>
      </c>
      <c r="F353" s="12">
        <v>19</v>
      </c>
      <c r="G353" s="46">
        <v>110000</v>
      </c>
      <c r="H353" s="46">
        <f t="shared" si="17"/>
        <v>2090000</v>
      </c>
    </row>
    <row r="354" spans="1:8" ht="14.4" customHeight="1" x14ac:dyDescent="0.25">
      <c r="A354" s="12" t="s">
        <v>123</v>
      </c>
      <c r="B354" s="133" t="s">
        <v>254</v>
      </c>
      <c r="C354" s="134"/>
      <c r="D354" s="135"/>
      <c r="E354" s="12" t="s">
        <v>122</v>
      </c>
      <c r="F354" s="12">
        <v>5</v>
      </c>
      <c r="G354" s="46">
        <v>50000</v>
      </c>
      <c r="H354" s="46">
        <f t="shared" si="17"/>
        <v>250000</v>
      </c>
    </row>
    <row r="355" spans="1:8" ht="14.4" customHeight="1" x14ac:dyDescent="0.25">
      <c r="A355" s="12" t="s">
        <v>262</v>
      </c>
      <c r="B355" s="88" t="s">
        <v>259</v>
      </c>
      <c r="C355" s="89"/>
      <c r="D355" s="89"/>
      <c r="E355" s="87" t="s">
        <v>14</v>
      </c>
      <c r="F355" s="12">
        <v>2</v>
      </c>
      <c r="G355" s="46">
        <v>53000</v>
      </c>
      <c r="H355" s="46">
        <f t="shared" si="17"/>
        <v>106000</v>
      </c>
    </row>
    <row r="356" spans="1:8" ht="14.4" customHeight="1" x14ac:dyDescent="0.25">
      <c r="A356" s="12" t="s">
        <v>263</v>
      </c>
      <c r="B356" s="88" t="s">
        <v>260</v>
      </c>
      <c r="C356" s="89"/>
      <c r="D356" s="89"/>
      <c r="E356" s="87" t="s">
        <v>14</v>
      </c>
      <c r="F356" s="12">
        <v>10</v>
      </c>
      <c r="G356" s="46">
        <v>3000</v>
      </c>
      <c r="H356" s="46">
        <f t="shared" si="17"/>
        <v>30000</v>
      </c>
    </row>
    <row r="357" spans="1:8" ht="14.4" customHeight="1" x14ac:dyDescent="0.25">
      <c r="A357" s="12" t="s">
        <v>264</v>
      </c>
      <c r="B357" s="88" t="s">
        <v>261</v>
      </c>
      <c r="C357" s="89"/>
      <c r="D357" s="89"/>
      <c r="E357" s="87" t="s">
        <v>14</v>
      </c>
      <c r="F357" s="12">
        <v>10</v>
      </c>
      <c r="G357" s="46">
        <v>3500</v>
      </c>
      <c r="H357" s="46">
        <f t="shared" si="17"/>
        <v>35000</v>
      </c>
    </row>
    <row r="358" spans="1:8" ht="14.4" customHeight="1" x14ac:dyDescent="0.25">
      <c r="A358" s="12" t="s">
        <v>265</v>
      </c>
      <c r="B358" s="133" t="s">
        <v>255</v>
      </c>
      <c r="C358" s="134"/>
      <c r="D358" s="134"/>
      <c r="E358" s="87" t="s">
        <v>14</v>
      </c>
      <c r="F358" s="12">
        <v>3</v>
      </c>
      <c r="G358" s="46">
        <v>110000</v>
      </c>
      <c r="H358" s="46">
        <f t="shared" si="17"/>
        <v>330000</v>
      </c>
    </row>
    <row r="359" spans="1:8" x14ac:dyDescent="0.25">
      <c r="A359" s="41"/>
      <c r="B359" s="41"/>
      <c r="C359" s="41"/>
      <c r="D359" s="41"/>
      <c r="E359" s="41"/>
      <c r="F359" s="41"/>
      <c r="G359" s="78"/>
      <c r="H359" s="78"/>
    </row>
    <row r="360" spans="1:8" x14ac:dyDescent="0.25">
      <c r="A360" s="153" t="s">
        <v>182</v>
      </c>
      <c r="B360" s="153"/>
      <c r="C360" s="153"/>
      <c r="D360" s="153"/>
      <c r="E360" s="153"/>
      <c r="F360" s="153"/>
      <c r="G360" s="153"/>
      <c r="H360" s="153"/>
    </row>
    <row r="361" spans="1:8" ht="14.4" customHeight="1" x14ac:dyDescent="0.25">
      <c r="A361" s="12" t="s">
        <v>124</v>
      </c>
      <c r="B361" s="133" t="s">
        <v>256</v>
      </c>
      <c r="C361" s="134"/>
      <c r="D361" s="135"/>
      <c r="E361" s="12" t="s">
        <v>257</v>
      </c>
      <c r="F361" s="12">
        <v>5</v>
      </c>
      <c r="G361" s="46">
        <v>190000</v>
      </c>
      <c r="H361" s="46">
        <f t="shared" ref="H361:H365" si="18">G361*F361</f>
        <v>950000</v>
      </c>
    </row>
    <row r="362" spans="1:8" ht="14.4" customHeight="1" x14ac:dyDescent="0.25">
      <c r="A362" s="12" t="s">
        <v>125</v>
      </c>
      <c r="B362" s="164" t="s">
        <v>258</v>
      </c>
      <c r="C362" s="165"/>
      <c r="D362" s="166"/>
      <c r="E362" s="12" t="s">
        <v>14</v>
      </c>
      <c r="F362" s="12">
        <v>10</v>
      </c>
      <c r="G362" s="46">
        <v>5000</v>
      </c>
      <c r="H362" s="46">
        <f t="shared" si="18"/>
        <v>50000</v>
      </c>
    </row>
    <row r="363" spans="1:8" ht="14.4" customHeight="1" x14ac:dyDescent="0.25">
      <c r="A363" s="12" t="s">
        <v>126</v>
      </c>
      <c r="B363" s="167" t="s">
        <v>128</v>
      </c>
      <c r="C363" s="168"/>
      <c r="D363" s="169"/>
      <c r="E363" s="12" t="s">
        <v>129</v>
      </c>
      <c r="F363" s="12">
        <v>1</v>
      </c>
      <c r="G363" s="46">
        <v>15000</v>
      </c>
      <c r="H363" s="46">
        <f t="shared" si="18"/>
        <v>15000</v>
      </c>
    </row>
    <row r="364" spans="1:8" ht="14.4" customHeight="1" x14ac:dyDescent="0.25">
      <c r="A364" s="12" t="s">
        <v>127</v>
      </c>
      <c r="B364" s="133" t="s">
        <v>131</v>
      </c>
      <c r="C364" s="134"/>
      <c r="D364" s="135"/>
      <c r="E364" s="12" t="s">
        <v>132</v>
      </c>
      <c r="F364" s="12">
        <v>1</v>
      </c>
      <c r="G364" s="46">
        <v>53000</v>
      </c>
      <c r="H364" s="46">
        <f t="shared" si="18"/>
        <v>53000</v>
      </c>
    </row>
    <row r="365" spans="1:8" ht="14.4" customHeight="1" x14ac:dyDescent="0.25">
      <c r="A365" s="12" t="s">
        <v>130</v>
      </c>
      <c r="B365" s="164" t="s">
        <v>134</v>
      </c>
      <c r="C365" s="165"/>
      <c r="D365" s="166"/>
      <c r="E365" s="12" t="s">
        <v>135</v>
      </c>
      <c r="F365" s="12">
        <v>3</v>
      </c>
      <c r="G365" s="46">
        <v>180000</v>
      </c>
      <c r="H365" s="46">
        <f t="shared" si="18"/>
        <v>540000</v>
      </c>
    </row>
    <row r="366" spans="1:8" s="9" customFormat="1" ht="15" customHeight="1" thickBot="1" x14ac:dyDescent="0.3">
      <c r="A366" s="12" t="s">
        <v>133</v>
      </c>
      <c r="B366" s="136" t="s">
        <v>136</v>
      </c>
      <c r="C366" s="137"/>
      <c r="D366" s="137"/>
      <c r="E366" s="137"/>
      <c r="F366" s="137"/>
      <c r="G366" s="138"/>
      <c r="H366" s="47">
        <v>8000000</v>
      </c>
    </row>
    <row r="367" spans="1:8" ht="14.4" thickBot="1" x14ac:dyDescent="0.3">
      <c r="A367" s="139" t="s">
        <v>137</v>
      </c>
      <c r="B367" s="140"/>
      <c r="C367" s="140"/>
      <c r="D367" s="140"/>
      <c r="E367" s="140"/>
      <c r="F367" s="140"/>
      <c r="G367" s="141"/>
      <c r="H367" s="68">
        <f>SUM(H349:H366)</f>
        <v>13384500</v>
      </c>
    </row>
    <row r="368" spans="1:8" x14ac:dyDescent="0.25">
      <c r="A368" s="39"/>
      <c r="B368" s="39"/>
      <c r="C368" s="39"/>
      <c r="D368" s="39"/>
      <c r="E368" s="39"/>
      <c r="F368" s="39"/>
      <c r="G368" s="69"/>
      <c r="H368" s="70"/>
    </row>
    <row r="369" spans="1:8" x14ac:dyDescent="0.25">
      <c r="A369" s="255" t="s">
        <v>198</v>
      </c>
      <c r="B369" s="255"/>
      <c r="C369" s="255"/>
      <c r="D369" s="255"/>
      <c r="E369" s="255"/>
      <c r="F369" s="255"/>
      <c r="G369" s="255"/>
      <c r="H369" s="255"/>
    </row>
    <row r="370" spans="1:8" ht="14.4" customHeight="1" x14ac:dyDescent="0.25">
      <c r="A370" s="133" t="s">
        <v>297</v>
      </c>
      <c r="B370" s="134"/>
      <c r="C370" s="134"/>
      <c r="D370" s="135"/>
      <c r="E370" s="12" t="s">
        <v>14</v>
      </c>
      <c r="F370" s="12">
        <v>1</v>
      </c>
      <c r="G370" s="62">
        <f>200000*2*2.7</f>
        <v>1080000</v>
      </c>
      <c r="H370" s="62">
        <f>F370*G370</f>
        <v>1080000</v>
      </c>
    </row>
    <row r="371" spans="1:8" ht="14.4" customHeight="1" x14ac:dyDescent="0.25">
      <c r="A371" s="133" t="s">
        <v>298</v>
      </c>
      <c r="B371" s="134"/>
      <c r="C371" s="134"/>
      <c r="D371" s="135"/>
      <c r="E371" s="12" t="s">
        <v>14</v>
      </c>
      <c r="F371" s="12">
        <v>4</v>
      </c>
      <c r="G371" s="62">
        <f>200000*2.5*2.7</f>
        <v>1350000</v>
      </c>
      <c r="H371" s="62">
        <f t="shared" ref="H371:H373" si="19">F371*G371</f>
        <v>5400000</v>
      </c>
    </row>
    <row r="372" spans="1:8" ht="14.4" customHeight="1" x14ac:dyDescent="0.25">
      <c r="A372" s="133" t="s">
        <v>299</v>
      </c>
      <c r="B372" s="134"/>
      <c r="C372" s="134"/>
      <c r="D372" s="135"/>
      <c r="E372" s="12" t="s">
        <v>14</v>
      </c>
      <c r="F372" s="12">
        <v>5</v>
      </c>
      <c r="G372" s="62">
        <f>200000*1.5*1.4</f>
        <v>420000</v>
      </c>
      <c r="H372" s="62">
        <f t="shared" si="19"/>
        <v>2100000</v>
      </c>
    </row>
    <row r="373" spans="1:8" ht="14.4" customHeight="1" x14ac:dyDescent="0.25">
      <c r="A373" s="133" t="s">
        <v>300</v>
      </c>
      <c r="B373" s="134"/>
      <c r="C373" s="134"/>
      <c r="D373" s="135"/>
      <c r="E373" s="12" t="s">
        <v>14</v>
      </c>
      <c r="F373" s="12">
        <v>2</v>
      </c>
      <c r="G373" s="62">
        <f>200000*3*3.2</f>
        <v>1920000</v>
      </c>
      <c r="H373" s="62">
        <f t="shared" si="19"/>
        <v>3840000</v>
      </c>
    </row>
    <row r="374" spans="1:8" ht="14.4" customHeight="1" x14ac:dyDescent="0.25">
      <c r="A374" s="133" t="s">
        <v>301</v>
      </c>
      <c r="B374" s="134"/>
      <c r="C374" s="134"/>
      <c r="D374" s="135"/>
      <c r="E374" s="12" t="s">
        <v>14</v>
      </c>
      <c r="F374" s="12">
        <v>2</v>
      </c>
      <c r="G374" s="62">
        <f>200000*2.5*3.2</f>
        <v>1600000</v>
      </c>
      <c r="H374" s="62">
        <f t="shared" ref="H374:H375" si="20">F374*G374</f>
        <v>3200000</v>
      </c>
    </row>
    <row r="375" spans="1:8" ht="14.4" customHeight="1" x14ac:dyDescent="0.25">
      <c r="A375" s="101" t="s">
        <v>302</v>
      </c>
      <c r="B375" s="102"/>
      <c r="C375" s="102"/>
      <c r="D375" s="103"/>
      <c r="E375" s="12" t="s">
        <v>14</v>
      </c>
      <c r="F375" s="12">
        <v>1</v>
      </c>
      <c r="G375" s="62">
        <f>200000*2.23*3.2</f>
        <v>1427200</v>
      </c>
      <c r="H375" s="62">
        <f t="shared" si="20"/>
        <v>1427200</v>
      </c>
    </row>
    <row r="376" spans="1:8" ht="14.4" customHeight="1" x14ac:dyDescent="0.25">
      <c r="A376" s="133" t="s">
        <v>303</v>
      </c>
      <c r="B376" s="134"/>
      <c r="C376" s="134"/>
      <c r="D376" s="135"/>
      <c r="E376" s="12" t="s">
        <v>14</v>
      </c>
      <c r="F376" s="12">
        <v>1</v>
      </c>
      <c r="G376" s="62">
        <f>200000*1.73*3.2</f>
        <v>1107200</v>
      </c>
      <c r="H376" s="62">
        <f t="shared" ref="H376:H377" si="21">F376*G376</f>
        <v>1107200</v>
      </c>
    </row>
    <row r="377" spans="1:8" ht="14.4" customHeight="1" x14ac:dyDescent="0.25">
      <c r="A377" s="119" t="s">
        <v>304</v>
      </c>
      <c r="B377" s="120"/>
      <c r="C377" s="120"/>
      <c r="D377" s="121"/>
      <c r="E377" s="12" t="s">
        <v>14</v>
      </c>
      <c r="F377" s="12">
        <v>1</v>
      </c>
      <c r="G377" s="62">
        <f>200000*2.79*3.2</f>
        <v>1785600</v>
      </c>
      <c r="H377" s="62">
        <f t="shared" si="21"/>
        <v>1785600</v>
      </c>
    </row>
    <row r="378" spans="1:8" ht="14.4" customHeight="1" x14ac:dyDescent="0.25">
      <c r="A378" s="133" t="s">
        <v>61</v>
      </c>
      <c r="B378" s="134"/>
      <c r="C378" s="134"/>
      <c r="D378" s="135"/>
      <c r="E378" s="12"/>
      <c r="F378" s="12">
        <v>100</v>
      </c>
      <c r="G378" s="62">
        <v>20000</v>
      </c>
      <c r="H378" s="62">
        <f>G378*F378</f>
        <v>2000000</v>
      </c>
    </row>
    <row r="379" spans="1:8" x14ac:dyDescent="0.25">
      <c r="A379" s="234" t="s">
        <v>199</v>
      </c>
      <c r="B379" s="235"/>
      <c r="C379" s="235"/>
      <c r="D379" s="235"/>
      <c r="E379" s="235"/>
      <c r="F379" s="235"/>
      <c r="G379" s="236"/>
      <c r="H379" s="79">
        <f>SUM(H370:H378)</f>
        <v>21940000</v>
      </c>
    </row>
    <row r="380" spans="1:8" x14ac:dyDescent="0.25">
      <c r="A380" s="90"/>
      <c r="B380" s="90"/>
      <c r="C380" s="90"/>
      <c r="D380" s="90"/>
      <c r="E380" s="90"/>
      <c r="F380" s="90"/>
      <c r="G380" s="90"/>
      <c r="H380" s="91"/>
    </row>
    <row r="381" spans="1:8" x14ac:dyDescent="0.25">
      <c r="A381" s="154" t="s">
        <v>138</v>
      </c>
      <c r="B381" s="154"/>
      <c r="C381" s="154"/>
      <c r="D381" s="154"/>
      <c r="E381" s="154"/>
      <c r="F381" s="154"/>
      <c r="G381" s="154"/>
      <c r="H381" s="154"/>
    </row>
    <row r="382" spans="1:8" ht="25.8" customHeight="1" x14ac:dyDescent="0.25">
      <c r="A382" s="155" t="s">
        <v>305</v>
      </c>
      <c r="B382" s="156"/>
      <c r="C382" s="156"/>
      <c r="D382" s="157"/>
      <c r="E382" s="2" t="s">
        <v>14</v>
      </c>
      <c r="F382" s="2">
        <v>2</v>
      </c>
      <c r="G382" s="3">
        <f>350000*1.5*3.2</f>
        <v>1680000</v>
      </c>
      <c r="H382" s="3">
        <f>G382*F382</f>
        <v>3360000</v>
      </c>
    </row>
    <row r="383" spans="1:8" ht="14.4" customHeight="1" x14ac:dyDescent="0.25">
      <c r="A383" s="192" t="s">
        <v>306</v>
      </c>
      <c r="B383" s="193"/>
      <c r="C383" s="193"/>
      <c r="D383" s="194"/>
      <c r="E383" s="2" t="s">
        <v>14</v>
      </c>
      <c r="F383" s="2">
        <v>4</v>
      </c>
      <c r="G383" s="3">
        <f>350000*0.8*3.2</f>
        <v>896000</v>
      </c>
      <c r="H383" s="3">
        <f t="shared" ref="H383" si="22">G383*F383</f>
        <v>3584000</v>
      </c>
    </row>
    <row r="384" spans="1:8" ht="14.4" customHeight="1" x14ac:dyDescent="0.25">
      <c r="A384" s="192" t="s">
        <v>307</v>
      </c>
      <c r="B384" s="193"/>
      <c r="C384" s="193"/>
      <c r="D384" s="194"/>
      <c r="E384" s="2" t="s">
        <v>14</v>
      </c>
      <c r="F384" s="2">
        <v>3</v>
      </c>
      <c r="G384" s="3">
        <f>350000*1*3.2</f>
        <v>1120000</v>
      </c>
      <c r="H384" s="3">
        <f t="shared" ref="H384" si="23">G384*F384</f>
        <v>3360000</v>
      </c>
    </row>
    <row r="385" spans="1:8" ht="15" customHeight="1" thickBot="1" x14ac:dyDescent="0.3">
      <c r="A385" s="158" t="s">
        <v>61</v>
      </c>
      <c r="B385" s="159"/>
      <c r="C385" s="159"/>
      <c r="D385" s="159"/>
      <c r="E385" s="160"/>
      <c r="F385" s="2">
        <v>30</v>
      </c>
      <c r="G385" s="3">
        <v>30000</v>
      </c>
      <c r="H385" s="3">
        <f>G385*F385</f>
        <v>900000</v>
      </c>
    </row>
    <row r="386" spans="1:8" ht="14.4" thickBot="1" x14ac:dyDescent="0.3">
      <c r="A386" s="161" t="s">
        <v>139</v>
      </c>
      <c r="B386" s="162"/>
      <c r="C386" s="162"/>
      <c r="D386" s="162"/>
      <c r="E386" s="162"/>
      <c r="F386" s="162"/>
      <c r="G386" s="163"/>
      <c r="H386" s="8">
        <f>SUM(H382:H385)</f>
        <v>11204000</v>
      </c>
    </row>
    <row r="387" spans="1:8" x14ac:dyDescent="0.25">
      <c r="A387" s="39"/>
      <c r="B387" s="39"/>
      <c r="C387" s="39"/>
      <c r="D387" s="39"/>
      <c r="E387" s="39"/>
      <c r="F387" s="39"/>
      <c r="G387" s="69"/>
      <c r="H387" s="70"/>
    </row>
    <row r="388" spans="1:8" x14ac:dyDescent="0.25">
      <c r="A388" s="204" t="s">
        <v>140</v>
      </c>
      <c r="B388" s="204"/>
      <c r="C388" s="204"/>
      <c r="D388" s="204"/>
      <c r="E388" s="204"/>
      <c r="F388" s="204"/>
      <c r="G388" s="204"/>
      <c r="H388" s="204"/>
    </row>
    <row r="389" spans="1:8" x14ac:dyDescent="0.25">
      <c r="A389" s="12">
        <v>11.1</v>
      </c>
      <c r="B389" s="12" t="s">
        <v>234</v>
      </c>
      <c r="C389" s="133" t="s">
        <v>200</v>
      </c>
      <c r="D389" s="135"/>
      <c r="E389" s="12" t="s">
        <v>80</v>
      </c>
      <c r="F389" s="12">
        <v>193</v>
      </c>
      <c r="G389" s="46">
        <v>35000</v>
      </c>
      <c r="H389" s="46">
        <f>G389*F389</f>
        <v>6755000</v>
      </c>
    </row>
    <row r="390" spans="1:8" x14ac:dyDescent="0.25">
      <c r="A390" s="12">
        <v>11.2</v>
      </c>
      <c r="B390" s="12" t="s">
        <v>234</v>
      </c>
      <c r="C390" s="133" t="s">
        <v>201</v>
      </c>
      <c r="D390" s="135"/>
      <c r="E390" s="12" t="s">
        <v>80</v>
      </c>
      <c r="F390" s="12">
        <v>87</v>
      </c>
      <c r="G390" s="46">
        <v>28000</v>
      </c>
      <c r="H390" s="46">
        <f>G390*F390</f>
        <v>2436000</v>
      </c>
    </row>
    <row r="391" spans="1:8" x14ac:dyDescent="0.25">
      <c r="A391" s="12">
        <v>11.3</v>
      </c>
      <c r="B391" s="133" t="s">
        <v>141</v>
      </c>
      <c r="C391" s="134"/>
      <c r="D391" s="135"/>
      <c r="E391" s="12" t="s">
        <v>116</v>
      </c>
      <c r="F391" s="12">
        <v>81</v>
      </c>
      <c r="G391" s="46">
        <v>3000</v>
      </c>
      <c r="H391" s="46">
        <f>G391*F391</f>
        <v>243000</v>
      </c>
    </row>
    <row r="392" spans="1:8" x14ac:dyDescent="0.25">
      <c r="A392" s="12">
        <v>11.4</v>
      </c>
      <c r="B392" s="133" t="s">
        <v>111</v>
      </c>
      <c r="C392" s="134"/>
      <c r="D392" s="135"/>
      <c r="E392" s="12" t="s">
        <v>116</v>
      </c>
      <c r="F392" s="12">
        <v>69</v>
      </c>
      <c r="G392" s="46">
        <v>15000</v>
      </c>
      <c r="H392" s="46">
        <f>G392*F392</f>
        <v>1035000</v>
      </c>
    </row>
    <row r="393" spans="1:8" ht="14.4" thickBot="1" x14ac:dyDescent="0.3">
      <c r="A393" s="42">
        <v>11.5</v>
      </c>
      <c r="B393" s="241" t="s">
        <v>16</v>
      </c>
      <c r="C393" s="242"/>
      <c r="D393" s="242"/>
      <c r="E393" s="243"/>
      <c r="F393" s="42">
        <v>402</v>
      </c>
      <c r="G393" s="77">
        <v>8000</v>
      </c>
      <c r="H393" s="46">
        <f>G393*F393</f>
        <v>3216000</v>
      </c>
    </row>
    <row r="394" spans="1:8" ht="14.4" thickBot="1" x14ac:dyDescent="0.3">
      <c r="A394" s="139" t="s">
        <v>142</v>
      </c>
      <c r="B394" s="140"/>
      <c r="C394" s="140"/>
      <c r="D394" s="140"/>
      <c r="E394" s="140"/>
      <c r="F394" s="140"/>
      <c r="G394" s="141"/>
      <c r="H394" s="68">
        <f>SUM(H389:H393)</f>
        <v>13685000</v>
      </c>
    </row>
    <row r="395" spans="1:8" x14ac:dyDescent="0.25">
      <c r="A395" s="39"/>
      <c r="B395" s="39"/>
      <c r="C395" s="39"/>
      <c r="D395" s="39"/>
      <c r="E395" s="39"/>
      <c r="F395" s="39"/>
      <c r="G395" s="69"/>
      <c r="H395" s="70"/>
    </row>
    <row r="396" spans="1:8" x14ac:dyDescent="0.25">
      <c r="A396" s="204" t="s">
        <v>180</v>
      </c>
      <c r="B396" s="204"/>
      <c r="C396" s="204"/>
      <c r="D396" s="204"/>
      <c r="E396" s="204"/>
      <c r="F396" s="204"/>
      <c r="G396" s="204"/>
      <c r="H396" s="204"/>
    </row>
    <row r="397" spans="1:8" x14ac:dyDescent="0.25">
      <c r="A397" s="22">
        <v>12.1</v>
      </c>
      <c r="B397" s="220" t="s">
        <v>143</v>
      </c>
      <c r="C397" s="221"/>
      <c r="D397" s="222"/>
      <c r="E397" s="22" t="s">
        <v>110</v>
      </c>
      <c r="F397" s="22">
        <v>1</v>
      </c>
      <c r="G397" s="54">
        <v>250000</v>
      </c>
      <c r="H397" s="54">
        <f t="shared" ref="H397:H403" si="24">G397*F397</f>
        <v>250000</v>
      </c>
    </row>
    <row r="398" spans="1:8" x14ac:dyDescent="0.25">
      <c r="A398" s="22">
        <v>12.2</v>
      </c>
      <c r="B398" s="220" t="s">
        <v>144</v>
      </c>
      <c r="C398" s="221"/>
      <c r="D398" s="222"/>
      <c r="E398" s="22" t="s">
        <v>110</v>
      </c>
      <c r="F398" s="22">
        <v>3</v>
      </c>
      <c r="G398" s="54">
        <v>150000</v>
      </c>
      <c r="H398" s="54">
        <f t="shared" si="24"/>
        <v>450000</v>
      </c>
    </row>
    <row r="399" spans="1:8" x14ac:dyDescent="0.25">
      <c r="A399" s="22">
        <v>12.3</v>
      </c>
      <c r="B399" s="249" t="s">
        <v>145</v>
      </c>
      <c r="C399" s="250"/>
      <c r="D399" s="251"/>
      <c r="E399" s="5" t="s">
        <v>110</v>
      </c>
      <c r="F399" s="5">
        <v>3</v>
      </c>
      <c r="G399" s="6">
        <v>400000</v>
      </c>
      <c r="H399" s="6">
        <f t="shared" si="24"/>
        <v>1200000</v>
      </c>
    </row>
    <row r="400" spans="1:8" x14ac:dyDescent="0.25">
      <c r="A400" s="22">
        <v>12.4</v>
      </c>
      <c r="B400" s="249" t="s">
        <v>224</v>
      </c>
      <c r="C400" s="250"/>
      <c r="D400" s="251"/>
      <c r="E400" s="5" t="s">
        <v>110</v>
      </c>
      <c r="F400" s="5">
        <v>3</v>
      </c>
      <c r="G400" s="6">
        <v>30000</v>
      </c>
      <c r="H400" s="6">
        <f t="shared" si="24"/>
        <v>90000</v>
      </c>
    </row>
    <row r="401" spans="1:8" x14ac:dyDescent="0.25">
      <c r="A401" s="22">
        <v>12.5</v>
      </c>
      <c r="B401" s="108" t="s">
        <v>280</v>
      </c>
      <c r="C401" s="109"/>
      <c r="D401" s="110"/>
      <c r="E401" s="5" t="s">
        <v>110</v>
      </c>
      <c r="F401" s="5">
        <v>0</v>
      </c>
      <c r="G401" s="6">
        <v>200000</v>
      </c>
      <c r="H401" s="6">
        <f t="shared" si="24"/>
        <v>0</v>
      </c>
    </row>
    <row r="402" spans="1:8" x14ac:dyDescent="0.25">
      <c r="A402" s="22">
        <v>12.6</v>
      </c>
      <c r="B402" s="249" t="s">
        <v>190</v>
      </c>
      <c r="C402" s="250"/>
      <c r="D402" s="251"/>
      <c r="E402" s="5" t="s">
        <v>110</v>
      </c>
      <c r="F402" s="5">
        <v>3</v>
      </c>
      <c r="G402" s="6">
        <v>10000</v>
      </c>
      <c r="H402" s="6">
        <f t="shared" si="24"/>
        <v>30000</v>
      </c>
    </row>
    <row r="403" spans="1:8" x14ac:dyDescent="0.25">
      <c r="A403" s="22">
        <v>12.7</v>
      </c>
      <c r="B403" s="122" t="s">
        <v>308</v>
      </c>
      <c r="C403" s="123"/>
      <c r="D403" s="124"/>
      <c r="E403" s="5" t="s">
        <v>110</v>
      </c>
      <c r="F403" s="5">
        <v>1</v>
      </c>
      <c r="G403" s="6">
        <v>800000</v>
      </c>
      <c r="H403" s="6">
        <f t="shared" si="24"/>
        <v>800000</v>
      </c>
    </row>
    <row r="404" spans="1:8" x14ac:dyDescent="0.25">
      <c r="A404" s="182" t="s">
        <v>146</v>
      </c>
      <c r="B404" s="182"/>
      <c r="C404" s="182"/>
      <c r="D404" s="182"/>
      <c r="E404" s="182"/>
      <c r="F404" s="182"/>
      <c r="G404" s="182"/>
      <c r="H404" s="53">
        <f>SUM(H397:H403)</f>
        <v>2820000</v>
      </c>
    </row>
    <row r="405" spans="1:8" x14ac:dyDescent="0.25">
      <c r="A405" s="25"/>
      <c r="B405" s="25"/>
      <c r="C405" s="25"/>
      <c r="D405" s="25"/>
      <c r="E405" s="25"/>
      <c r="F405" s="25"/>
      <c r="G405" s="58"/>
      <c r="H405" s="57"/>
    </row>
    <row r="406" spans="1:8" x14ac:dyDescent="0.25">
      <c r="A406" s="153" t="s">
        <v>147</v>
      </c>
      <c r="B406" s="153"/>
      <c r="C406" s="153"/>
      <c r="D406" s="153"/>
      <c r="E406" s="153"/>
      <c r="F406" s="153"/>
      <c r="G406" s="153"/>
      <c r="H406" s="153"/>
    </row>
    <row r="407" spans="1:8" ht="14.4" customHeight="1" x14ac:dyDescent="0.25">
      <c r="A407" s="12">
        <v>13.1</v>
      </c>
      <c r="B407" s="133" t="s">
        <v>148</v>
      </c>
      <c r="C407" s="134"/>
      <c r="D407" s="135"/>
      <c r="E407" s="12"/>
      <c r="F407" s="12"/>
      <c r="G407" s="46"/>
      <c r="H407" s="46">
        <v>800000</v>
      </c>
    </row>
    <row r="408" spans="1:8" ht="14.4" customHeight="1" x14ac:dyDescent="0.25">
      <c r="A408" s="12">
        <v>13.2</v>
      </c>
      <c r="B408" s="133" t="s">
        <v>149</v>
      </c>
      <c r="C408" s="134"/>
      <c r="D408" s="135"/>
      <c r="E408" s="12" t="s">
        <v>110</v>
      </c>
      <c r="F408" s="12">
        <v>300</v>
      </c>
      <c r="G408" s="46">
        <v>500</v>
      </c>
      <c r="H408" s="46">
        <f t="shared" ref="H408:H415" si="25">F408*G408</f>
        <v>150000</v>
      </c>
    </row>
    <row r="409" spans="1:8" ht="14.4" customHeight="1" x14ac:dyDescent="0.25">
      <c r="A409" s="12">
        <v>13.3</v>
      </c>
      <c r="B409" s="133" t="s">
        <v>150</v>
      </c>
      <c r="C409" s="134"/>
      <c r="D409" s="135"/>
      <c r="E409" s="12" t="s">
        <v>110</v>
      </c>
      <c r="F409" s="12">
        <v>300</v>
      </c>
      <c r="G409" s="46">
        <v>1100</v>
      </c>
      <c r="H409" s="46">
        <f t="shared" si="25"/>
        <v>330000</v>
      </c>
    </row>
    <row r="410" spans="1:8" ht="14.4" customHeight="1" x14ac:dyDescent="0.25">
      <c r="A410" s="12">
        <v>13.4</v>
      </c>
      <c r="B410" s="133" t="s">
        <v>151</v>
      </c>
      <c r="C410" s="134"/>
      <c r="D410" s="135"/>
      <c r="E410" s="12" t="s">
        <v>152</v>
      </c>
      <c r="F410" s="12">
        <v>8</v>
      </c>
      <c r="G410" s="46">
        <v>19000</v>
      </c>
      <c r="H410" s="46">
        <f t="shared" si="25"/>
        <v>152000</v>
      </c>
    </row>
    <row r="411" spans="1:8" ht="14.4" customHeight="1" x14ac:dyDescent="0.25">
      <c r="A411" s="12">
        <v>13.5</v>
      </c>
      <c r="B411" s="133" t="s">
        <v>153</v>
      </c>
      <c r="C411" s="134"/>
      <c r="D411" s="135"/>
      <c r="E411" s="12" t="s">
        <v>110</v>
      </c>
      <c r="F411" s="12">
        <v>2</v>
      </c>
      <c r="G411" s="46">
        <v>1000</v>
      </c>
      <c r="H411" s="46">
        <f t="shared" si="25"/>
        <v>2000</v>
      </c>
    </row>
    <row r="412" spans="1:8" ht="14.4" customHeight="1" x14ac:dyDescent="0.25">
      <c r="A412" s="12">
        <v>13.6</v>
      </c>
      <c r="B412" s="133" t="s">
        <v>20</v>
      </c>
      <c r="C412" s="134"/>
      <c r="D412" s="135"/>
      <c r="E412" s="12" t="s">
        <v>110</v>
      </c>
      <c r="F412" s="12">
        <v>8</v>
      </c>
      <c r="G412" s="46">
        <v>13500</v>
      </c>
      <c r="H412" s="46">
        <f t="shared" si="25"/>
        <v>108000</v>
      </c>
    </row>
    <row r="413" spans="1:8" ht="14.4" customHeight="1" x14ac:dyDescent="0.25">
      <c r="A413" s="12">
        <v>13.7</v>
      </c>
      <c r="B413" s="133" t="s">
        <v>154</v>
      </c>
      <c r="C413" s="134"/>
      <c r="D413" s="135"/>
      <c r="E413" s="12" t="s">
        <v>155</v>
      </c>
      <c r="F413" s="12">
        <v>1.1000000000000001</v>
      </c>
      <c r="G413" s="46">
        <v>100000</v>
      </c>
      <c r="H413" s="46">
        <f t="shared" si="25"/>
        <v>110000.00000000001</v>
      </c>
    </row>
    <row r="414" spans="1:8" ht="14.4" customHeight="1" x14ac:dyDescent="0.25">
      <c r="A414" s="12">
        <v>13.8</v>
      </c>
      <c r="B414" s="133" t="s">
        <v>156</v>
      </c>
      <c r="C414" s="134"/>
      <c r="D414" s="135"/>
      <c r="E414" s="12" t="s">
        <v>155</v>
      </c>
      <c r="F414" s="12">
        <v>0.6</v>
      </c>
      <c r="G414" s="46">
        <v>47000</v>
      </c>
      <c r="H414" s="46">
        <f t="shared" si="25"/>
        <v>28200</v>
      </c>
    </row>
    <row r="415" spans="1:8" ht="14.4" customHeight="1" x14ac:dyDescent="0.25">
      <c r="A415" s="12">
        <v>13.9</v>
      </c>
      <c r="B415" s="133" t="s">
        <v>157</v>
      </c>
      <c r="C415" s="134"/>
      <c r="D415" s="135"/>
      <c r="E415" s="12" t="s">
        <v>14</v>
      </c>
      <c r="F415" s="12">
        <v>10</v>
      </c>
      <c r="G415" s="46">
        <v>15000</v>
      </c>
      <c r="H415" s="46">
        <f t="shared" si="25"/>
        <v>150000</v>
      </c>
    </row>
    <row r="416" spans="1:8" ht="15" customHeight="1" thickBot="1" x14ac:dyDescent="0.3">
      <c r="A416" s="42">
        <v>13.1</v>
      </c>
      <c r="B416" s="252" t="s">
        <v>158</v>
      </c>
      <c r="C416" s="253"/>
      <c r="D416" s="253"/>
      <c r="E416" s="253"/>
      <c r="F416" s="253"/>
      <c r="G416" s="254"/>
      <c r="H416" s="77">
        <v>5000000</v>
      </c>
    </row>
    <row r="417" spans="1:8" ht="14.4" thickBot="1" x14ac:dyDescent="0.3">
      <c r="A417" s="139" t="s">
        <v>159</v>
      </c>
      <c r="B417" s="140"/>
      <c r="C417" s="140"/>
      <c r="D417" s="140"/>
      <c r="E417" s="140"/>
      <c r="F417" s="140"/>
      <c r="G417" s="141"/>
      <c r="H417" s="68">
        <f>SUM(H407:H416)</f>
        <v>6830200</v>
      </c>
    </row>
    <row r="418" spans="1:8" x14ac:dyDescent="0.25">
      <c r="A418" s="39"/>
      <c r="B418" s="39"/>
      <c r="C418" s="39"/>
      <c r="D418" s="39"/>
      <c r="E418" s="39"/>
      <c r="F418" s="39"/>
      <c r="G418" s="67"/>
      <c r="H418" s="70"/>
    </row>
    <row r="419" spans="1:8" x14ac:dyDescent="0.25">
      <c r="A419" s="219" t="s">
        <v>235</v>
      </c>
      <c r="B419" s="219"/>
      <c r="C419" s="219"/>
      <c r="D419" s="219"/>
      <c r="E419" s="43" t="s">
        <v>17</v>
      </c>
      <c r="F419" s="43">
        <v>0</v>
      </c>
      <c r="G419" s="80">
        <v>500000</v>
      </c>
      <c r="H419" s="73">
        <f>F419*G419</f>
        <v>0</v>
      </c>
    </row>
    <row r="420" spans="1:8" x14ac:dyDescent="0.25">
      <c r="A420" s="44"/>
      <c r="B420" s="44"/>
      <c r="C420" s="44"/>
      <c r="D420" s="44"/>
      <c r="E420" s="39"/>
      <c r="F420" s="39"/>
      <c r="G420" s="67"/>
      <c r="H420" s="70"/>
    </row>
    <row r="421" spans="1:8" x14ac:dyDescent="0.25">
      <c r="A421" s="256" t="s">
        <v>269</v>
      </c>
      <c r="B421" s="257"/>
      <c r="C421" s="257"/>
      <c r="D421" s="258"/>
      <c r="E421" s="43" t="s">
        <v>17</v>
      </c>
      <c r="F421" s="43">
        <v>0</v>
      </c>
      <c r="G421" s="80">
        <v>800000</v>
      </c>
      <c r="H421" s="73">
        <f>F421*G421</f>
        <v>0</v>
      </c>
    </row>
    <row r="422" spans="1:8" x14ac:dyDescent="0.25">
      <c r="A422" s="44"/>
      <c r="B422" s="44"/>
      <c r="C422" s="44"/>
      <c r="D422" s="44"/>
      <c r="E422" s="39"/>
      <c r="F422" s="39"/>
      <c r="G422" s="67"/>
      <c r="H422" s="98"/>
    </row>
    <row r="423" spans="1:8" x14ac:dyDescent="0.25">
      <c r="A423" s="256" t="s">
        <v>270</v>
      </c>
      <c r="B423" s="257"/>
      <c r="C423" s="257"/>
      <c r="D423" s="258"/>
      <c r="E423" s="43" t="s">
        <v>17</v>
      </c>
      <c r="F423" s="43">
        <v>9.5</v>
      </c>
      <c r="G423" s="80">
        <v>500000</v>
      </c>
      <c r="H423" s="73">
        <f>F423*G423</f>
        <v>4750000</v>
      </c>
    </row>
    <row r="424" spans="1:8" x14ac:dyDescent="0.25">
      <c r="A424" s="44"/>
      <c r="B424" s="44"/>
      <c r="C424" s="44"/>
      <c r="D424" s="44"/>
      <c r="E424" s="39"/>
      <c r="F424" s="39"/>
      <c r="G424" s="67"/>
      <c r="H424" s="70"/>
    </row>
    <row r="425" spans="1:8" x14ac:dyDescent="0.25">
      <c r="A425" s="146" t="s">
        <v>225</v>
      </c>
      <c r="B425" s="147"/>
      <c r="C425" s="147"/>
      <c r="D425" s="147"/>
      <c r="E425" s="147"/>
      <c r="F425" s="147"/>
      <c r="G425" s="147"/>
      <c r="H425" s="148"/>
    </row>
    <row r="426" spans="1:8" ht="45" customHeight="1" x14ac:dyDescent="0.25">
      <c r="A426" s="149" t="s">
        <v>236</v>
      </c>
      <c r="B426" s="149"/>
      <c r="C426" s="22">
        <v>92</v>
      </c>
      <c r="D426" s="22" t="s">
        <v>160</v>
      </c>
      <c r="E426" s="22" t="s">
        <v>226</v>
      </c>
      <c r="F426" s="22">
        <v>7</v>
      </c>
      <c r="G426" s="129">
        <v>41000</v>
      </c>
      <c r="H426" s="54">
        <f>F426*G426</f>
        <v>287000</v>
      </c>
    </row>
    <row r="427" spans="1:8" x14ac:dyDescent="0.25">
      <c r="A427" s="133" t="s">
        <v>61</v>
      </c>
      <c r="B427" s="134"/>
      <c r="C427" s="134"/>
      <c r="D427" s="134"/>
      <c r="E427" s="135"/>
      <c r="F427" s="12">
        <f>C426</f>
        <v>92</v>
      </c>
      <c r="G427" s="46">
        <v>1000</v>
      </c>
      <c r="H427" s="46">
        <f>F427*G427</f>
        <v>92000</v>
      </c>
    </row>
    <row r="428" spans="1:8" x14ac:dyDescent="0.25">
      <c r="A428" s="198" t="s">
        <v>243</v>
      </c>
      <c r="B428" s="199"/>
      <c r="C428" s="199"/>
      <c r="D428" s="199"/>
      <c r="E428" s="199"/>
      <c r="F428" s="199"/>
      <c r="G428" s="200"/>
      <c r="H428" s="53">
        <f>SUM(H426:H427)</f>
        <v>379000</v>
      </c>
    </row>
    <row r="429" spans="1:8" x14ac:dyDescent="0.25">
      <c r="A429" s="26"/>
      <c r="B429" s="19"/>
      <c r="C429" s="19"/>
      <c r="D429" s="19"/>
      <c r="E429" s="19"/>
      <c r="F429" s="19"/>
      <c r="G429" s="81"/>
      <c r="H429" s="82"/>
    </row>
    <row r="430" spans="1:8" x14ac:dyDescent="0.25">
      <c r="A430" s="225" t="s">
        <v>202</v>
      </c>
      <c r="B430" s="225"/>
      <c r="C430" s="225"/>
      <c r="D430" s="225"/>
      <c r="E430" s="225"/>
      <c r="F430" s="225"/>
      <c r="G430" s="225"/>
      <c r="H430" s="83">
        <f>SUM(H428,H423,H421,H419,H417,H404,H394,H386,H379,H367,H346,H340,H321,H315,H306,H288,H271,H260)</f>
        <v>120606200</v>
      </c>
    </row>
    <row r="431" spans="1:8" x14ac:dyDescent="0.25">
      <c r="A431" s="31"/>
      <c r="B431" s="31"/>
      <c r="C431" s="31"/>
      <c r="D431" s="31"/>
      <c r="E431" s="31"/>
      <c r="F431" s="31"/>
      <c r="G431" s="58"/>
      <c r="H431" s="84"/>
    </row>
    <row r="432" spans="1:8" s="4" customFormat="1" ht="15" customHeight="1" x14ac:dyDescent="0.25">
      <c r="A432" s="226" t="s">
        <v>227</v>
      </c>
      <c r="B432" s="226"/>
      <c r="C432" s="226"/>
      <c r="D432" s="226"/>
      <c r="E432" s="226"/>
      <c r="F432" s="226"/>
      <c r="G432" s="226"/>
      <c r="H432" s="226"/>
    </row>
    <row r="433" spans="1:8" s="10" customFormat="1" ht="15" x14ac:dyDescent="0.3">
      <c r="A433" s="179" t="s">
        <v>204</v>
      </c>
      <c r="B433" s="180"/>
      <c r="C433" s="180"/>
      <c r="D433" s="180"/>
      <c r="E433" s="180"/>
      <c r="F433" s="180"/>
      <c r="G433" s="180"/>
      <c r="H433" s="181"/>
    </row>
    <row r="434" spans="1:8" s="10" customFormat="1" ht="15" x14ac:dyDescent="0.3">
      <c r="A434" s="35">
        <v>1.1000000000000001</v>
      </c>
      <c r="B434" s="133" t="s">
        <v>30</v>
      </c>
      <c r="C434" s="135"/>
      <c r="D434" s="35" t="s">
        <v>205</v>
      </c>
      <c r="E434" s="35" t="s">
        <v>17</v>
      </c>
      <c r="F434" s="35">
        <v>1098</v>
      </c>
      <c r="G434" s="62">
        <v>1500</v>
      </c>
      <c r="H434" s="62">
        <f>G434*F434</f>
        <v>1647000</v>
      </c>
    </row>
    <row r="435" spans="1:8" s="10" customFormat="1" ht="15" x14ac:dyDescent="0.3">
      <c r="A435" s="35">
        <v>1.2</v>
      </c>
      <c r="B435" s="133" t="s">
        <v>2</v>
      </c>
      <c r="C435" s="135"/>
      <c r="D435" s="35" t="s">
        <v>239</v>
      </c>
      <c r="E435" s="35" t="s">
        <v>238</v>
      </c>
      <c r="F435" s="35">
        <v>60</v>
      </c>
      <c r="G435" s="62">
        <v>3200</v>
      </c>
      <c r="H435" s="62">
        <f>G435*F435</f>
        <v>192000</v>
      </c>
    </row>
    <row r="436" spans="1:8" s="10" customFormat="1" ht="15" x14ac:dyDescent="0.3">
      <c r="A436" s="35">
        <v>1.3</v>
      </c>
      <c r="B436" s="133" t="s">
        <v>2</v>
      </c>
      <c r="C436" s="135"/>
      <c r="D436" s="35" t="s">
        <v>240</v>
      </c>
      <c r="E436" s="35" t="s">
        <v>238</v>
      </c>
      <c r="F436" s="35">
        <v>60</v>
      </c>
      <c r="G436" s="62">
        <v>3200</v>
      </c>
      <c r="H436" s="62">
        <f>G436*F436</f>
        <v>192000</v>
      </c>
    </row>
    <row r="437" spans="1:8" s="10" customFormat="1" ht="15" x14ac:dyDescent="0.3">
      <c r="A437" s="35">
        <v>1.4</v>
      </c>
      <c r="B437" s="133" t="s">
        <v>206</v>
      </c>
      <c r="C437" s="134"/>
      <c r="D437" s="134"/>
      <c r="E437" s="134"/>
      <c r="F437" s="134"/>
      <c r="G437" s="135"/>
      <c r="H437" s="62">
        <v>150000</v>
      </c>
    </row>
    <row r="438" spans="1:8" s="10" customFormat="1" ht="15" x14ac:dyDescent="0.3">
      <c r="A438" s="35">
        <v>1.5</v>
      </c>
      <c r="B438" s="133" t="s">
        <v>16</v>
      </c>
      <c r="C438" s="134"/>
      <c r="D438" s="134"/>
      <c r="E438" s="134"/>
      <c r="F438" s="134"/>
      <c r="G438" s="135"/>
      <c r="H438" s="62">
        <v>3000000</v>
      </c>
    </row>
    <row r="439" spans="1:8" s="10" customFormat="1" ht="15" x14ac:dyDescent="0.3">
      <c r="A439" s="182" t="s">
        <v>207</v>
      </c>
      <c r="B439" s="182"/>
      <c r="C439" s="182"/>
      <c r="D439" s="182"/>
      <c r="E439" s="182"/>
      <c r="F439" s="182"/>
      <c r="G439" s="182"/>
      <c r="H439" s="65">
        <f>SUM(H434:H438)</f>
        <v>5181000</v>
      </c>
    </row>
    <row r="440" spans="1:8" s="10" customFormat="1" ht="15.6" thickBot="1" x14ac:dyDescent="0.35">
      <c r="A440" s="38"/>
      <c r="B440" s="38"/>
      <c r="C440" s="38"/>
      <c r="D440" s="38"/>
      <c r="E440" s="38"/>
      <c r="F440" s="38"/>
      <c r="G440" s="66"/>
      <c r="H440" s="67"/>
    </row>
    <row r="441" spans="1:8" ht="14.4" thickBot="1" x14ac:dyDescent="0.3">
      <c r="A441" s="183" t="s">
        <v>197</v>
      </c>
      <c r="B441" s="184"/>
      <c r="C441" s="184"/>
      <c r="D441" s="184"/>
      <c r="E441" s="184"/>
      <c r="F441" s="184"/>
      <c r="G441" s="184"/>
      <c r="H441" s="185"/>
    </row>
    <row r="442" spans="1:8" x14ac:dyDescent="0.25">
      <c r="A442" s="186" t="s">
        <v>63</v>
      </c>
      <c r="B442" s="187"/>
      <c r="C442" s="187"/>
      <c r="D442" s="187"/>
      <c r="E442" s="187"/>
      <c r="F442" s="187"/>
      <c r="G442" s="187"/>
      <c r="H442" s="188"/>
    </row>
    <row r="443" spans="1:8" x14ac:dyDescent="0.25">
      <c r="A443" s="189" t="s">
        <v>64</v>
      </c>
      <c r="B443" s="190"/>
      <c r="C443" s="190"/>
      <c r="D443" s="191"/>
      <c r="E443" s="22"/>
      <c r="F443" s="22"/>
      <c r="G443" s="54"/>
      <c r="H443" s="54"/>
    </row>
    <row r="444" spans="1:8" x14ac:dyDescent="0.25">
      <c r="A444" s="133" t="s">
        <v>65</v>
      </c>
      <c r="B444" s="134"/>
      <c r="C444" s="134"/>
      <c r="D444" s="135"/>
      <c r="E444" s="12" t="s">
        <v>6</v>
      </c>
      <c r="F444" s="12">
        <v>40</v>
      </c>
      <c r="G444" s="46">
        <v>3000</v>
      </c>
      <c r="H444" s="46">
        <f>G444*F444</f>
        <v>120000</v>
      </c>
    </row>
    <row r="445" spans="1:8" x14ac:dyDescent="0.25">
      <c r="A445" s="133" t="s">
        <v>66</v>
      </c>
      <c r="B445" s="134"/>
      <c r="C445" s="134"/>
      <c r="D445" s="135"/>
      <c r="E445" s="12" t="s">
        <v>6</v>
      </c>
      <c r="F445" s="12">
        <v>30</v>
      </c>
      <c r="G445" s="46">
        <v>3000</v>
      </c>
      <c r="H445" s="46">
        <f>G445*F445</f>
        <v>90000</v>
      </c>
    </row>
    <row r="446" spans="1:8" x14ac:dyDescent="0.25">
      <c r="A446" s="133" t="s">
        <v>67</v>
      </c>
      <c r="B446" s="134"/>
      <c r="C446" s="134"/>
      <c r="D446" s="135"/>
      <c r="E446" s="12" t="s">
        <v>6</v>
      </c>
      <c r="F446" s="12">
        <v>200</v>
      </c>
      <c r="G446" s="46">
        <v>3000</v>
      </c>
      <c r="H446" s="46">
        <f>G446*F446</f>
        <v>600000</v>
      </c>
    </row>
    <row r="447" spans="1:8" x14ac:dyDescent="0.25">
      <c r="A447" s="133" t="s">
        <v>68</v>
      </c>
      <c r="B447" s="134"/>
      <c r="C447" s="134"/>
      <c r="D447" s="135"/>
      <c r="E447" s="12" t="s">
        <v>6</v>
      </c>
      <c r="F447" s="12">
        <v>100</v>
      </c>
      <c r="G447" s="46">
        <v>500</v>
      </c>
      <c r="H447" s="46">
        <f>G447*F447</f>
        <v>50000</v>
      </c>
    </row>
    <row r="448" spans="1:8" s="9" customFormat="1" ht="14.4" thickBot="1" x14ac:dyDescent="0.3">
      <c r="A448" s="136" t="s">
        <v>69</v>
      </c>
      <c r="B448" s="137"/>
      <c r="C448" s="137"/>
      <c r="D448" s="137"/>
      <c r="E448" s="137"/>
      <c r="F448" s="137"/>
      <c r="G448" s="138"/>
      <c r="H448" s="47">
        <v>800000</v>
      </c>
    </row>
    <row r="449" spans="1:8" ht="14.4" thickBot="1" x14ac:dyDescent="0.3">
      <c r="A449" s="139" t="s">
        <v>70</v>
      </c>
      <c r="B449" s="140"/>
      <c r="C449" s="140"/>
      <c r="D449" s="140"/>
      <c r="E449" s="140"/>
      <c r="F449" s="140"/>
      <c r="G449" s="141"/>
      <c r="H449" s="68">
        <f>SUM(H444:H448)</f>
        <v>1660000</v>
      </c>
    </row>
    <row r="450" spans="1:8" x14ac:dyDescent="0.25">
      <c r="A450" s="39"/>
      <c r="B450" s="39"/>
      <c r="C450" s="39"/>
      <c r="D450" s="39"/>
      <c r="E450" s="39"/>
      <c r="F450" s="39"/>
      <c r="G450" s="69"/>
      <c r="H450" s="70"/>
    </row>
    <row r="451" spans="1:8" x14ac:dyDescent="0.25">
      <c r="A451" s="153" t="s">
        <v>170</v>
      </c>
      <c r="B451" s="153"/>
      <c r="C451" s="153"/>
      <c r="D451" s="153"/>
      <c r="E451" s="153"/>
      <c r="F451" s="153"/>
      <c r="G451" s="153"/>
      <c r="H451" s="153"/>
    </row>
    <row r="452" spans="1:8" x14ac:dyDescent="0.25">
      <c r="A452" s="133" t="s">
        <v>71</v>
      </c>
      <c r="B452" s="134"/>
      <c r="C452" s="134"/>
      <c r="D452" s="134"/>
      <c r="E452" s="134"/>
      <c r="F452" s="134"/>
      <c r="G452" s="134"/>
      <c r="H452" s="135"/>
    </row>
    <row r="453" spans="1:8" x14ac:dyDescent="0.25">
      <c r="A453" s="12"/>
      <c r="B453" s="133" t="s">
        <v>72</v>
      </c>
      <c r="C453" s="134"/>
      <c r="D453" s="135"/>
      <c r="E453" s="12" t="s">
        <v>73</v>
      </c>
      <c r="F453" s="12">
        <v>5</v>
      </c>
      <c r="G453" s="46">
        <v>80000</v>
      </c>
      <c r="H453" s="46">
        <f>G453*F453</f>
        <v>400000</v>
      </c>
    </row>
    <row r="454" spans="1:8" x14ac:dyDescent="0.25">
      <c r="A454" s="12"/>
      <c r="B454" s="133" t="s">
        <v>74</v>
      </c>
      <c r="C454" s="134"/>
      <c r="D454" s="135"/>
      <c r="E454" s="12" t="s">
        <v>73</v>
      </c>
      <c r="F454" s="12">
        <v>5</v>
      </c>
      <c r="G454" s="46">
        <v>80000</v>
      </c>
      <c r="H454" s="46">
        <f>G454*F454</f>
        <v>400000</v>
      </c>
    </row>
    <row r="455" spans="1:8" x14ac:dyDescent="0.25">
      <c r="A455" s="12"/>
      <c r="B455" s="133" t="s">
        <v>75</v>
      </c>
      <c r="C455" s="134"/>
      <c r="D455" s="135"/>
      <c r="E455" s="12" t="s">
        <v>73</v>
      </c>
      <c r="F455" s="12">
        <v>5</v>
      </c>
      <c r="G455" s="46">
        <v>80000</v>
      </c>
      <c r="H455" s="46">
        <f>G455*F455</f>
        <v>400000</v>
      </c>
    </row>
    <row r="456" spans="1:8" x14ac:dyDescent="0.25">
      <c r="A456" s="133" t="s">
        <v>76</v>
      </c>
      <c r="B456" s="134"/>
      <c r="C456" s="134"/>
      <c r="D456" s="134"/>
      <c r="E456" s="134"/>
      <c r="F456" s="134"/>
      <c r="G456" s="134"/>
      <c r="H456" s="135"/>
    </row>
    <row r="457" spans="1:8" x14ac:dyDescent="0.25">
      <c r="A457" s="12"/>
      <c r="B457" s="133" t="s">
        <v>72</v>
      </c>
      <c r="C457" s="134"/>
      <c r="D457" s="135"/>
      <c r="E457" s="12" t="s">
        <v>73</v>
      </c>
      <c r="F457" s="12">
        <v>5</v>
      </c>
      <c r="G457" s="46">
        <v>55000</v>
      </c>
      <c r="H457" s="46">
        <f t="shared" ref="H457:H464" si="26">G457*F457</f>
        <v>275000</v>
      </c>
    </row>
    <row r="458" spans="1:8" x14ac:dyDescent="0.25">
      <c r="A458" s="12"/>
      <c r="B458" s="133" t="s">
        <v>74</v>
      </c>
      <c r="C458" s="134"/>
      <c r="D458" s="135"/>
      <c r="E458" s="12" t="s">
        <v>73</v>
      </c>
      <c r="F458" s="12">
        <v>5</v>
      </c>
      <c r="G458" s="46">
        <v>55000</v>
      </c>
      <c r="H458" s="46">
        <f t="shared" si="26"/>
        <v>275000</v>
      </c>
    </row>
    <row r="459" spans="1:8" x14ac:dyDescent="0.25">
      <c r="A459" s="12"/>
      <c r="B459" s="133" t="s">
        <v>75</v>
      </c>
      <c r="C459" s="134"/>
      <c r="D459" s="135"/>
      <c r="E459" s="12" t="s">
        <v>73</v>
      </c>
      <c r="F459" s="12">
        <v>5</v>
      </c>
      <c r="G459" s="46">
        <v>55000</v>
      </c>
      <c r="H459" s="46">
        <f t="shared" si="26"/>
        <v>275000</v>
      </c>
    </row>
    <row r="460" spans="1:8" x14ac:dyDescent="0.25">
      <c r="A460" s="133" t="s">
        <v>77</v>
      </c>
      <c r="B460" s="134"/>
      <c r="C460" s="134"/>
      <c r="D460" s="135"/>
      <c r="E460" s="12" t="s">
        <v>164</v>
      </c>
      <c r="F460" s="12">
        <v>200</v>
      </c>
      <c r="G460" s="46">
        <v>2000</v>
      </c>
      <c r="H460" s="46">
        <f t="shared" si="26"/>
        <v>400000</v>
      </c>
    </row>
    <row r="461" spans="1:8" x14ac:dyDescent="0.25">
      <c r="A461" s="133" t="s">
        <v>78</v>
      </c>
      <c r="B461" s="134"/>
      <c r="C461" s="134"/>
      <c r="D461" s="135"/>
      <c r="E461" s="12" t="s">
        <v>164</v>
      </c>
      <c r="F461" s="12">
        <v>100</v>
      </c>
      <c r="G461" s="46">
        <v>500</v>
      </c>
      <c r="H461" s="46">
        <f t="shared" si="26"/>
        <v>50000</v>
      </c>
    </row>
    <row r="462" spans="1:8" x14ac:dyDescent="0.25">
      <c r="A462" s="133" t="s">
        <v>165</v>
      </c>
      <c r="B462" s="134"/>
      <c r="C462" s="134"/>
      <c r="D462" s="135"/>
      <c r="E462" s="12" t="s">
        <v>164</v>
      </c>
      <c r="F462" s="12">
        <v>100</v>
      </c>
      <c r="G462" s="46">
        <v>500</v>
      </c>
      <c r="H462" s="46">
        <f t="shared" si="26"/>
        <v>50000</v>
      </c>
    </row>
    <row r="463" spans="1:8" x14ac:dyDescent="0.25">
      <c r="A463" s="133" t="s">
        <v>166</v>
      </c>
      <c r="B463" s="134"/>
      <c r="C463" s="134"/>
      <c r="D463" s="135"/>
      <c r="E463" s="12" t="s">
        <v>164</v>
      </c>
      <c r="F463" s="12">
        <v>100</v>
      </c>
      <c r="G463" s="46">
        <v>500</v>
      </c>
      <c r="H463" s="46">
        <f t="shared" si="26"/>
        <v>50000</v>
      </c>
    </row>
    <row r="464" spans="1:8" x14ac:dyDescent="0.25">
      <c r="A464" s="133" t="s">
        <v>79</v>
      </c>
      <c r="B464" s="134"/>
      <c r="C464" s="134"/>
      <c r="D464" s="135"/>
      <c r="E464" s="12" t="s">
        <v>80</v>
      </c>
      <c r="F464" s="12">
        <v>60</v>
      </c>
      <c r="G464" s="46">
        <v>500</v>
      </c>
      <c r="H464" s="46">
        <f t="shared" si="26"/>
        <v>30000</v>
      </c>
    </row>
    <row r="465" spans="1:8" s="9" customFormat="1" ht="14.4" thickBot="1" x14ac:dyDescent="0.3">
      <c r="A465" s="136" t="s">
        <v>81</v>
      </c>
      <c r="B465" s="137"/>
      <c r="C465" s="137"/>
      <c r="D465" s="137"/>
      <c r="E465" s="137"/>
      <c r="F465" s="137"/>
      <c r="G465" s="138"/>
      <c r="H465" s="47">
        <v>5500000</v>
      </c>
    </row>
    <row r="466" spans="1:8" ht="14.4" thickBot="1" x14ac:dyDescent="0.3">
      <c r="A466" s="139" t="s">
        <v>82</v>
      </c>
      <c r="B466" s="140"/>
      <c r="C466" s="140"/>
      <c r="D466" s="140"/>
      <c r="E466" s="140"/>
      <c r="F466" s="140"/>
      <c r="G466" s="141"/>
      <c r="H466" s="68">
        <f>SUM(H453:H465)</f>
        <v>8105000</v>
      </c>
    </row>
    <row r="467" spans="1:8" x14ac:dyDescent="0.25">
      <c r="A467" s="39"/>
      <c r="B467" s="39"/>
      <c r="C467" s="39"/>
      <c r="D467" s="39"/>
      <c r="E467" s="39"/>
      <c r="F467" s="39"/>
      <c r="G467" s="71"/>
      <c r="H467" s="72"/>
    </row>
    <row r="468" spans="1:8" x14ac:dyDescent="0.25">
      <c r="A468" s="146" t="s">
        <v>171</v>
      </c>
      <c r="B468" s="147"/>
      <c r="C468" s="147"/>
      <c r="D468" s="147"/>
      <c r="E468" s="147"/>
      <c r="F468" s="147"/>
      <c r="G468" s="147"/>
      <c r="H468" s="148"/>
    </row>
    <row r="469" spans="1:8" x14ac:dyDescent="0.25">
      <c r="A469" s="133" t="s">
        <v>172</v>
      </c>
      <c r="B469" s="134"/>
      <c r="C469" s="134"/>
      <c r="D469" s="135"/>
      <c r="E469" s="12" t="s">
        <v>6</v>
      </c>
      <c r="F469" s="12">
        <v>20</v>
      </c>
      <c r="G469" s="46">
        <v>15000</v>
      </c>
      <c r="H469" s="46">
        <f t="shared" ref="H469:H482" si="27">G469*F469</f>
        <v>300000</v>
      </c>
    </row>
    <row r="470" spans="1:8" x14ac:dyDescent="0.25">
      <c r="A470" s="133" t="s">
        <v>173</v>
      </c>
      <c r="B470" s="134"/>
      <c r="C470" s="134"/>
      <c r="D470" s="135"/>
      <c r="E470" s="12" t="s">
        <v>6</v>
      </c>
      <c r="F470" s="12">
        <v>10</v>
      </c>
      <c r="G470" s="46">
        <v>15000</v>
      </c>
      <c r="H470" s="46">
        <f t="shared" si="27"/>
        <v>150000</v>
      </c>
    </row>
    <row r="471" spans="1:8" x14ac:dyDescent="0.25">
      <c r="A471" s="133" t="s">
        <v>174</v>
      </c>
      <c r="B471" s="134"/>
      <c r="C471" s="134"/>
      <c r="D471" s="135"/>
      <c r="E471" s="12" t="s">
        <v>6</v>
      </c>
      <c r="F471" s="12">
        <v>30</v>
      </c>
      <c r="G471" s="46">
        <v>9000</v>
      </c>
      <c r="H471" s="46">
        <f t="shared" si="27"/>
        <v>270000</v>
      </c>
    </row>
    <row r="472" spans="1:8" x14ac:dyDescent="0.25">
      <c r="A472" s="133" t="s">
        <v>175</v>
      </c>
      <c r="B472" s="134"/>
      <c r="C472" s="134"/>
      <c r="D472" s="135"/>
      <c r="E472" s="12" t="s">
        <v>6</v>
      </c>
      <c r="F472" s="12">
        <v>12</v>
      </c>
      <c r="G472" s="46">
        <v>12000</v>
      </c>
      <c r="H472" s="46">
        <f t="shared" si="27"/>
        <v>144000</v>
      </c>
    </row>
    <row r="473" spans="1:8" x14ac:dyDescent="0.25">
      <c r="A473" s="133" t="s">
        <v>83</v>
      </c>
      <c r="B473" s="134"/>
      <c r="C473" s="134"/>
      <c r="D473" s="135"/>
      <c r="E473" s="12" t="s">
        <v>6</v>
      </c>
      <c r="F473" s="12">
        <v>5</v>
      </c>
      <c r="G473" s="46">
        <v>50000</v>
      </c>
      <c r="H473" s="46">
        <f t="shared" si="27"/>
        <v>250000</v>
      </c>
    </row>
    <row r="474" spans="1:8" x14ac:dyDescent="0.25">
      <c r="A474" s="133" t="s">
        <v>176</v>
      </c>
      <c r="B474" s="134"/>
      <c r="C474" s="134"/>
      <c r="D474" s="135"/>
      <c r="E474" s="12" t="s">
        <v>6</v>
      </c>
      <c r="F474" s="12">
        <v>30</v>
      </c>
      <c r="G474" s="46">
        <v>6000</v>
      </c>
      <c r="H474" s="46">
        <f t="shared" si="27"/>
        <v>180000</v>
      </c>
    </row>
    <row r="475" spans="1:8" x14ac:dyDescent="0.25">
      <c r="A475" s="133" t="s">
        <v>177</v>
      </c>
      <c r="B475" s="134"/>
      <c r="C475" s="134"/>
      <c r="D475" s="135"/>
      <c r="E475" s="12" t="s">
        <v>6</v>
      </c>
      <c r="F475" s="12">
        <v>30</v>
      </c>
      <c r="G475" s="46">
        <v>6000</v>
      </c>
      <c r="H475" s="46">
        <f t="shared" si="27"/>
        <v>180000</v>
      </c>
    </row>
    <row r="476" spans="1:8" x14ac:dyDescent="0.25">
      <c r="A476" s="133" t="s">
        <v>178</v>
      </c>
      <c r="B476" s="134"/>
      <c r="C476" s="134"/>
      <c r="D476" s="135"/>
      <c r="E476" s="12" t="s">
        <v>6</v>
      </c>
      <c r="F476" s="12">
        <v>0</v>
      </c>
      <c r="G476" s="46">
        <v>25000</v>
      </c>
      <c r="H476" s="46">
        <f t="shared" si="27"/>
        <v>0</v>
      </c>
    </row>
    <row r="477" spans="1:8" x14ac:dyDescent="0.25">
      <c r="A477" s="133" t="s">
        <v>84</v>
      </c>
      <c r="B477" s="134"/>
      <c r="C477" s="134"/>
      <c r="D477" s="135"/>
      <c r="E477" s="12" t="s">
        <v>6</v>
      </c>
      <c r="F477" s="12">
        <v>30</v>
      </c>
      <c r="G477" s="46">
        <v>6000</v>
      </c>
      <c r="H477" s="46">
        <f t="shared" si="27"/>
        <v>180000</v>
      </c>
    </row>
    <row r="478" spans="1:8" x14ac:dyDescent="0.25">
      <c r="A478" s="133" t="s">
        <v>85</v>
      </c>
      <c r="B478" s="134"/>
      <c r="C478" s="134"/>
      <c r="D478" s="135"/>
      <c r="E478" s="12" t="s">
        <v>6</v>
      </c>
      <c r="F478" s="12">
        <v>10</v>
      </c>
      <c r="G478" s="46">
        <v>7000</v>
      </c>
      <c r="H478" s="46">
        <f t="shared" si="27"/>
        <v>70000</v>
      </c>
    </row>
    <row r="479" spans="1:8" x14ac:dyDescent="0.25">
      <c r="A479" s="133" t="s">
        <v>86</v>
      </c>
      <c r="B479" s="134"/>
      <c r="C479" s="134"/>
      <c r="D479" s="135"/>
      <c r="E479" s="12" t="s">
        <v>6</v>
      </c>
      <c r="F479" s="12">
        <v>5</v>
      </c>
      <c r="G479" s="46">
        <v>6000</v>
      </c>
      <c r="H479" s="46">
        <f t="shared" si="27"/>
        <v>30000</v>
      </c>
    </row>
    <row r="480" spans="1:8" x14ac:dyDescent="0.25">
      <c r="A480" s="133" t="s">
        <v>87</v>
      </c>
      <c r="B480" s="134"/>
      <c r="C480" s="134"/>
      <c r="D480" s="135"/>
      <c r="E480" s="12" t="s">
        <v>6</v>
      </c>
      <c r="F480" s="12">
        <v>1</v>
      </c>
      <c r="G480" s="46">
        <v>35000</v>
      </c>
      <c r="H480" s="46">
        <f t="shared" si="27"/>
        <v>35000</v>
      </c>
    </row>
    <row r="481" spans="1:8" x14ac:dyDescent="0.25">
      <c r="A481" s="133" t="s">
        <v>88</v>
      </c>
      <c r="B481" s="134"/>
      <c r="C481" s="134"/>
      <c r="D481" s="135"/>
      <c r="E481" s="12" t="s">
        <v>6</v>
      </c>
      <c r="F481" s="12">
        <v>0</v>
      </c>
      <c r="G481" s="46">
        <v>25000</v>
      </c>
      <c r="H481" s="46">
        <f t="shared" si="27"/>
        <v>0</v>
      </c>
    </row>
    <row r="482" spans="1:8" x14ac:dyDescent="0.25">
      <c r="A482" s="133" t="s">
        <v>89</v>
      </c>
      <c r="B482" s="134"/>
      <c r="C482" s="134"/>
      <c r="D482" s="135"/>
      <c r="E482" s="12" t="s">
        <v>6</v>
      </c>
      <c r="F482" s="12">
        <v>40</v>
      </c>
      <c r="G482" s="46">
        <v>40000</v>
      </c>
      <c r="H482" s="46">
        <f t="shared" si="27"/>
        <v>1600000</v>
      </c>
    </row>
    <row r="483" spans="1:8" s="9" customFormat="1" x14ac:dyDescent="0.25">
      <c r="A483" s="133" t="s">
        <v>90</v>
      </c>
      <c r="B483" s="134"/>
      <c r="C483" s="134"/>
      <c r="D483" s="134"/>
      <c r="E483" s="134"/>
      <c r="F483" s="134"/>
      <c r="G483" s="135"/>
      <c r="H483" s="46">
        <v>1300000</v>
      </c>
    </row>
    <row r="484" spans="1:8" x14ac:dyDescent="0.25">
      <c r="A484" s="174" t="s">
        <v>91</v>
      </c>
      <c r="B484" s="175"/>
      <c r="C484" s="175"/>
      <c r="D484" s="175"/>
      <c r="E484" s="175"/>
      <c r="F484" s="175"/>
      <c r="G484" s="176"/>
      <c r="H484" s="73">
        <f>SUM(H469:H483)</f>
        <v>4689000</v>
      </c>
    </row>
    <row r="485" spans="1:8" x14ac:dyDescent="0.25">
      <c r="A485" s="39"/>
      <c r="B485" s="39"/>
      <c r="C485" s="39"/>
      <c r="D485" s="39"/>
      <c r="E485" s="39"/>
      <c r="F485" s="39"/>
      <c r="G485" s="69"/>
      <c r="H485" s="70"/>
    </row>
    <row r="486" spans="1:8" s="10" customFormat="1" ht="15" x14ac:dyDescent="0.3">
      <c r="A486" s="177" t="s">
        <v>208</v>
      </c>
      <c r="B486" s="178"/>
      <c r="C486" s="179" t="s">
        <v>209</v>
      </c>
      <c r="D486" s="180"/>
      <c r="E486" s="180"/>
      <c r="F486" s="180"/>
      <c r="G486" s="180"/>
      <c r="H486" s="181"/>
    </row>
    <row r="487" spans="1:8" s="10" customFormat="1" ht="15" x14ac:dyDescent="0.3">
      <c r="A487" s="35">
        <v>3.1</v>
      </c>
      <c r="B487" s="133" t="s">
        <v>210</v>
      </c>
      <c r="C487" s="134"/>
      <c r="D487" s="135"/>
      <c r="E487" s="35" t="s">
        <v>110</v>
      </c>
      <c r="F487" s="35">
        <v>100</v>
      </c>
      <c r="G487" s="62">
        <v>17500</v>
      </c>
      <c r="H487" s="62">
        <f>G487*F487</f>
        <v>1750000</v>
      </c>
    </row>
    <row r="488" spans="1:8" s="10" customFormat="1" ht="15" x14ac:dyDescent="0.3">
      <c r="A488" s="35">
        <v>3.3</v>
      </c>
      <c r="B488" s="133" t="s">
        <v>211</v>
      </c>
      <c r="C488" s="134"/>
      <c r="D488" s="135"/>
      <c r="E488" s="35" t="s">
        <v>212</v>
      </c>
      <c r="F488" s="35">
        <v>12</v>
      </c>
      <c r="G488" s="62">
        <v>5000</v>
      </c>
      <c r="H488" s="62">
        <f>G488*F488</f>
        <v>60000</v>
      </c>
    </row>
    <row r="489" spans="1:8" s="10" customFormat="1" ht="15" x14ac:dyDescent="0.3">
      <c r="A489" s="35">
        <v>3.6</v>
      </c>
      <c r="B489" s="133" t="s">
        <v>112</v>
      </c>
      <c r="C489" s="134"/>
      <c r="D489" s="134"/>
      <c r="E489" s="134"/>
      <c r="F489" s="134"/>
      <c r="G489" s="135"/>
      <c r="H489" s="62">
        <v>2500000</v>
      </c>
    </row>
    <row r="490" spans="1:8" s="10" customFormat="1" ht="15" x14ac:dyDescent="0.3">
      <c r="A490" s="171" t="s">
        <v>213</v>
      </c>
      <c r="B490" s="172"/>
      <c r="C490" s="172"/>
      <c r="D490" s="172"/>
      <c r="E490" s="172"/>
      <c r="F490" s="172"/>
      <c r="G490" s="173"/>
      <c r="H490" s="76">
        <f>SUM(H487:H489)</f>
        <v>4310000</v>
      </c>
    </row>
    <row r="491" spans="1:8" x14ac:dyDescent="0.25">
      <c r="A491" s="39"/>
      <c r="B491" s="39"/>
      <c r="C491" s="39"/>
      <c r="D491" s="39"/>
      <c r="E491" s="39"/>
      <c r="F491" s="39"/>
      <c r="G491" s="69"/>
      <c r="H491" s="70"/>
    </row>
    <row r="492" spans="1:8" x14ac:dyDescent="0.25">
      <c r="A492" s="153" t="s">
        <v>109</v>
      </c>
      <c r="B492" s="153"/>
      <c r="C492" s="153"/>
      <c r="D492" s="153"/>
      <c r="E492" s="153"/>
      <c r="F492" s="153"/>
      <c r="G492" s="153"/>
      <c r="H492" s="153"/>
    </row>
    <row r="493" spans="1:8" x14ac:dyDescent="0.25">
      <c r="A493" s="12">
        <v>7.1</v>
      </c>
      <c r="B493" s="133" t="s">
        <v>19</v>
      </c>
      <c r="C493" s="134"/>
      <c r="D493" s="135"/>
      <c r="E493" s="12" t="s">
        <v>18</v>
      </c>
      <c r="F493" s="12">
        <v>33</v>
      </c>
      <c r="G493" s="46">
        <v>30000</v>
      </c>
      <c r="H493" s="46">
        <f>G493*F493</f>
        <v>990000</v>
      </c>
    </row>
    <row r="494" spans="1:8" x14ac:dyDescent="0.25">
      <c r="A494" s="12">
        <v>7.2</v>
      </c>
      <c r="B494" s="133" t="s">
        <v>111</v>
      </c>
      <c r="C494" s="134"/>
      <c r="D494" s="135"/>
      <c r="E494" s="12" t="s">
        <v>26</v>
      </c>
      <c r="F494" s="12">
        <v>158</v>
      </c>
      <c r="G494" s="46">
        <v>17500</v>
      </c>
      <c r="H494" s="46">
        <f>G494*F494</f>
        <v>2765000</v>
      </c>
    </row>
    <row r="495" spans="1:8" s="9" customFormat="1" ht="14.4" thickBot="1" x14ac:dyDescent="0.3">
      <c r="A495" s="16">
        <v>7.3</v>
      </c>
      <c r="B495" s="136" t="s">
        <v>112</v>
      </c>
      <c r="C495" s="137"/>
      <c r="D495" s="137"/>
      <c r="E495" s="138"/>
      <c r="F495" s="16">
        <f>F493</f>
        <v>33</v>
      </c>
      <c r="G495" s="47">
        <v>117000</v>
      </c>
      <c r="H495" s="46">
        <f>G495*F495</f>
        <v>3861000</v>
      </c>
    </row>
    <row r="496" spans="1:8" ht="14.4" thickBot="1" x14ac:dyDescent="0.3">
      <c r="A496" s="139" t="s">
        <v>113</v>
      </c>
      <c r="B496" s="140"/>
      <c r="C496" s="140"/>
      <c r="D496" s="140"/>
      <c r="E496" s="140"/>
      <c r="F496" s="140"/>
      <c r="G496" s="141"/>
      <c r="H496" s="68">
        <f>SUM(H493:H495)</f>
        <v>7616000</v>
      </c>
    </row>
    <row r="497" spans="1:8" x14ac:dyDescent="0.25">
      <c r="A497" s="40"/>
      <c r="B497" s="40"/>
      <c r="C497" s="40"/>
      <c r="D497" s="40"/>
      <c r="E497" s="40"/>
      <c r="F497" s="40"/>
      <c r="G497" s="74"/>
      <c r="H497" s="75"/>
    </row>
    <row r="498" spans="1:8" x14ac:dyDescent="0.25">
      <c r="A498" s="170" t="s">
        <v>114</v>
      </c>
      <c r="B498" s="170"/>
      <c r="C498" s="170"/>
      <c r="D498" s="170"/>
      <c r="E498" s="170"/>
      <c r="F498" s="170"/>
      <c r="G498" s="170"/>
      <c r="H498" s="170"/>
    </row>
    <row r="499" spans="1:8" x14ac:dyDescent="0.25">
      <c r="A499" s="153" t="s">
        <v>181</v>
      </c>
      <c r="B499" s="153"/>
      <c r="C499" s="153"/>
      <c r="D499" s="153"/>
      <c r="E499" s="153"/>
      <c r="F499" s="153"/>
      <c r="G499" s="153"/>
      <c r="H499" s="153"/>
    </row>
    <row r="500" spans="1:8" ht="14.4" customHeight="1" x14ac:dyDescent="0.25">
      <c r="A500" s="12" t="s">
        <v>115</v>
      </c>
      <c r="B500" s="164" t="s">
        <v>266</v>
      </c>
      <c r="C500" s="165"/>
      <c r="D500" s="166"/>
      <c r="E500" s="12" t="s">
        <v>14</v>
      </c>
      <c r="F500" s="12">
        <v>45</v>
      </c>
      <c r="G500" s="46">
        <v>19500</v>
      </c>
      <c r="H500" s="46">
        <f t="shared" ref="H500:H508" si="28">G500*F500</f>
        <v>877500</v>
      </c>
    </row>
    <row r="501" spans="1:8" ht="14.4" customHeight="1" x14ac:dyDescent="0.25">
      <c r="A501" s="12" t="s">
        <v>117</v>
      </c>
      <c r="B501" s="133" t="s">
        <v>118</v>
      </c>
      <c r="C501" s="134"/>
      <c r="D501" s="135"/>
      <c r="E501" s="12" t="s">
        <v>119</v>
      </c>
      <c r="F501" s="12">
        <v>15</v>
      </c>
      <c r="G501" s="46">
        <v>3000</v>
      </c>
      <c r="H501" s="46">
        <f t="shared" si="28"/>
        <v>45000</v>
      </c>
    </row>
    <row r="502" spans="1:8" ht="14.4" customHeight="1" x14ac:dyDescent="0.25">
      <c r="A502" s="12" t="s">
        <v>120</v>
      </c>
      <c r="B502" s="133" t="s">
        <v>267</v>
      </c>
      <c r="C502" s="134"/>
      <c r="D502" s="135"/>
      <c r="E502" s="12" t="s">
        <v>245</v>
      </c>
      <c r="F502" s="12">
        <v>4</v>
      </c>
      <c r="G502" s="46">
        <v>7000</v>
      </c>
      <c r="H502" s="46">
        <f t="shared" si="28"/>
        <v>28000</v>
      </c>
    </row>
    <row r="503" spans="1:8" ht="14.4" customHeight="1" x14ac:dyDescent="0.25">
      <c r="A503" s="12" t="s">
        <v>121</v>
      </c>
      <c r="B503" s="133" t="s">
        <v>253</v>
      </c>
      <c r="C503" s="134"/>
      <c r="D503" s="135"/>
      <c r="E503" s="12" t="s">
        <v>14</v>
      </c>
      <c r="F503" s="12">
        <v>17</v>
      </c>
      <c r="G503" s="46">
        <v>110000</v>
      </c>
      <c r="H503" s="46">
        <f t="shared" si="28"/>
        <v>1870000</v>
      </c>
    </row>
    <row r="504" spans="1:8" ht="14.4" customHeight="1" x14ac:dyDescent="0.25">
      <c r="A504" s="12" t="s">
        <v>123</v>
      </c>
      <c r="B504" s="133" t="s">
        <v>254</v>
      </c>
      <c r="C504" s="134"/>
      <c r="D504" s="135"/>
      <c r="E504" s="12" t="s">
        <v>122</v>
      </c>
      <c r="F504" s="12">
        <v>4</v>
      </c>
      <c r="G504" s="46">
        <v>50000</v>
      </c>
      <c r="H504" s="46">
        <f t="shared" si="28"/>
        <v>200000</v>
      </c>
    </row>
    <row r="505" spans="1:8" ht="14.4" customHeight="1" x14ac:dyDescent="0.25">
      <c r="A505" s="12" t="s">
        <v>262</v>
      </c>
      <c r="B505" s="92" t="s">
        <v>259</v>
      </c>
      <c r="C505" s="93"/>
      <c r="D505" s="93"/>
      <c r="E505" s="94" t="s">
        <v>14</v>
      </c>
      <c r="F505" s="12">
        <v>2</v>
      </c>
      <c r="G505" s="46">
        <v>53000</v>
      </c>
      <c r="H505" s="46">
        <f t="shared" si="28"/>
        <v>106000</v>
      </c>
    </row>
    <row r="506" spans="1:8" ht="14.4" customHeight="1" x14ac:dyDescent="0.25">
      <c r="A506" s="12" t="s">
        <v>263</v>
      </c>
      <c r="B506" s="92" t="s">
        <v>260</v>
      </c>
      <c r="C506" s="93"/>
      <c r="D506" s="93"/>
      <c r="E506" s="94" t="s">
        <v>14</v>
      </c>
      <c r="F506" s="12">
        <v>10</v>
      </c>
      <c r="G506" s="46">
        <v>3000</v>
      </c>
      <c r="H506" s="46">
        <f t="shared" si="28"/>
        <v>30000</v>
      </c>
    </row>
    <row r="507" spans="1:8" ht="14.4" customHeight="1" x14ac:dyDescent="0.25">
      <c r="A507" s="12" t="s">
        <v>264</v>
      </c>
      <c r="B507" s="92" t="s">
        <v>261</v>
      </c>
      <c r="C507" s="93"/>
      <c r="D507" s="93"/>
      <c r="E507" s="94" t="s">
        <v>14</v>
      </c>
      <c r="F507" s="12">
        <v>10</v>
      </c>
      <c r="G507" s="46">
        <v>3500</v>
      </c>
      <c r="H507" s="46">
        <f t="shared" si="28"/>
        <v>35000</v>
      </c>
    </row>
    <row r="508" spans="1:8" ht="14.4" customHeight="1" x14ac:dyDescent="0.25">
      <c r="A508" s="12" t="s">
        <v>265</v>
      </c>
      <c r="B508" s="133" t="s">
        <v>255</v>
      </c>
      <c r="C508" s="134"/>
      <c r="D508" s="134"/>
      <c r="E508" s="94" t="s">
        <v>14</v>
      </c>
      <c r="F508" s="12">
        <v>2</v>
      </c>
      <c r="G508" s="46">
        <v>110000</v>
      </c>
      <c r="H508" s="46">
        <f t="shared" si="28"/>
        <v>220000</v>
      </c>
    </row>
    <row r="509" spans="1:8" x14ac:dyDescent="0.25">
      <c r="A509" s="41"/>
      <c r="B509" s="41"/>
      <c r="C509" s="41"/>
      <c r="D509" s="41"/>
      <c r="E509" s="41"/>
      <c r="F509" s="41"/>
      <c r="G509" s="78"/>
      <c r="H509" s="78"/>
    </row>
    <row r="510" spans="1:8" x14ac:dyDescent="0.25">
      <c r="A510" s="153" t="s">
        <v>182</v>
      </c>
      <c r="B510" s="153"/>
      <c r="C510" s="153"/>
      <c r="D510" s="153"/>
      <c r="E510" s="153"/>
      <c r="F510" s="153"/>
      <c r="G510" s="153"/>
      <c r="H510" s="153"/>
    </row>
    <row r="511" spans="1:8" ht="14.4" customHeight="1" x14ac:dyDescent="0.25">
      <c r="A511" s="12" t="s">
        <v>124</v>
      </c>
      <c r="B511" s="133" t="s">
        <v>256</v>
      </c>
      <c r="C511" s="134"/>
      <c r="D511" s="135"/>
      <c r="E511" s="12" t="s">
        <v>257</v>
      </c>
      <c r="F511" s="12">
        <v>5</v>
      </c>
      <c r="G511" s="46">
        <v>190000</v>
      </c>
      <c r="H511" s="46">
        <f t="shared" ref="H511:H515" si="29">G511*F511</f>
        <v>950000</v>
      </c>
    </row>
    <row r="512" spans="1:8" ht="14.4" customHeight="1" x14ac:dyDescent="0.25">
      <c r="A512" s="12" t="s">
        <v>125</v>
      </c>
      <c r="B512" s="164" t="s">
        <v>258</v>
      </c>
      <c r="C512" s="165"/>
      <c r="D512" s="166"/>
      <c r="E512" s="12" t="s">
        <v>14</v>
      </c>
      <c r="F512" s="12">
        <v>5</v>
      </c>
      <c r="G512" s="46">
        <v>5000</v>
      </c>
      <c r="H512" s="46">
        <f t="shared" si="29"/>
        <v>25000</v>
      </c>
    </row>
    <row r="513" spans="1:8" ht="14.4" customHeight="1" x14ac:dyDescent="0.25">
      <c r="A513" s="12" t="s">
        <v>126</v>
      </c>
      <c r="B513" s="167" t="s">
        <v>128</v>
      </c>
      <c r="C513" s="168"/>
      <c r="D513" s="169"/>
      <c r="E513" s="12" t="s">
        <v>129</v>
      </c>
      <c r="F513" s="12">
        <v>1</v>
      </c>
      <c r="G513" s="46">
        <v>15000</v>
      </c>
      <c r="H513" s="46">
        <f t="shared" si="29"/>
        <v>15000</v>
      </c>
    </row>
    <row r="514" spans="1:8" ht="14.4" customHeight="1" x14ac:dyDescent="0.25">
      <c r="A514" s="12" t="s">
        <v>127</v>
      </c>
      <c r="B514" s="133" t="s">
        <v>131</v>
      </c>
      <c r="C514" s="134"/>
      <c r="D514" s="135"/>
      <c r="E514" s="12" t="s">
        <v>132</v>
      </c>
      <c r="F514" s="12">
        <v>1</v>
      </c>
      <c r="G514" s="46">
        <v>53000</v>
      </c>
      <c r="H514" s="46">
        <f t="shared" si="29"/>
        <v>53000</v>
      </c>
    </row>
    <row r="515" spans="1:8" ht="14.4" customHeight="1" x14ac:dyDescent="0.25">
      <c r="A515" s="12" t="s">
        <v>130</v>
      </c>
      <c r="B515" s="164" t="s">
        <v>134</v>
      </c>
      <c r="C515" s="165"/>
      <c r="D515" s="166"/>
      <c r="E515" s="12" t="s">
        <v>135</v>
      </c>
      <c r="F515" s="12">
        <v>2</v>
      </c>
      <c r="G515" s="46">
        <v>180000</v>
      </c>
      <c r="H515" s="46">
        <f t="shared" si="29"/>
        <v>360000</v>
      </c>
    </row>
    <row r="516" spans="1:8" s="9" customFormat="1" ht="15" customHeight="1" thickBot="1" x14ac:dyDescent="0.3">
      <c r="A516" s="12" t="s">
        <v>133</v>
      </c>
      <c r="B516" s="136" t="s">
        <v>136</v>
      </c>
      <c r="C516" s="137"/>
      <c r="D516" s="137"/>
      <c r="E516" s="137"/>
      <c r="F516" s="137"/>
      <c r="G516" s="138"/>
      <c r="H516" s="47">
        <v>8200000</v>
      </c>
    </row>
    <row r="517" spans="1:8" ht="14.4" thickBot="1" x14ac:dyDescent="0.3">
      <c r="A517" s="139" t="s">
        <v>137</v>
      </c>
      <c r="B517" s="140"/>
      <c r="C517" s="140"/>
      <c r="D517" s="140"/>
      <c r="E517" s="140"/>
      <c r="F517" s="140"/>
      <c r="G517" s="141"/>
      <c r="H517" s="68">
        <f>SUM(H499:H516)</f>
        <v>13014500</v>
      </c>
    </row>
    <row r="518" spans="1:8" x14ac:dyDescent="0.25">
      <c r="A518" s="39"/>
      <c r="B518" s="39"/>
      <c r="C518" s="39"/>
      <c r="D518" s="39"/>
      <c r="E518" s="39"/>
      <c r="F518" s="39"/>
      <c r="G518" s="69"/>
      <c r="H518" s="70"/>
    </row>
    <row r="519" spans="1:8" x14ac:dyDescent="0.25">
      <c r="A519" s="255" t="s">
        <v>198</v>
      </c>
      <c r="B519" s="255"/>
      <c r="C519" s="255"/>
      <c r="D519" s="255"/>
      <c r="E519" s="255"/>
      <c r="F519" s="255"/>
      <c r="G519" s="255"/>
      <c r="H519" s="255"/>
    </row>
    <row r="520" spans="1:8" ht="14.4" customHeight="1" x14ac:dyDescent="0.25">
      <c r="A520" s="133" t="s">
        <v>309</v>
      </c>
      <c r="B520" s="134"/>
      <c r="C520" s="134"/>
      <c r="D520" s="135"/>
      <c r="E520" s="12" t="s">
        <v>14</v>
      </c>
      <c r="F520" s="12">
        <v>1</v>
      </c>
      <c r="G520" s="62">
        <f>200000*2*2.7</f>
        <v>1080000</v>
      </c>
      <c r="H520" s="62">
        <f>F520*G520</f>
        <v>1080000</v>
      </c>
    </row>
    <row r="521" spans="1:8" ht="14.4" customHeight="1" x14ac:dyDescent="0.25">
      <c r="A521" s="133" t="s">
        <v>310</v>
      </c>
      <c r="B521" s="134"/>
      <c r="C521" s="134"/>
      <c r="D521" s="135"/>
      <c r="E521" s="12" t="s">
        <v>14</v>
      </c>
      <c r="F521" s="12">
        <v>1</v>
      </c>
      <c r="G521" s="62">
        <f>200000*1.5*3.2</f>
        <v>960000</v>
      </c>
      <c r="H521" s="62">
        <f t="shared" ref="H521:H523" si="30">F521*G521</f>
        <v>960000</v>
      </c>
    </row>
    <row r="522" spans="1:8" ht="14.4" customHeight="1" x14ac:dyDescent="0.25">
      <c r="A522" s="133" t="s">
        <v>311</v>
      </c>
      <c r="B522" s="134"/>
      <c r="C522" s="134"/>
      <c r="D522" s="135"/>
      <c r="E522" s="12" t="s">
        <v>14</v>
      </c>
      <c r="F522" s="12">
        <v>1</v>
      </c>
      <c r="G522" s="62">
        <f>200000*1*3.2</f>
        <v>640000</v>
      </c>
      <c r="H522" s="62">
        <f t="shared" si="30"/>
        <v>640000</v>
      </c>
    </row>
    <row r="523" spans="1:8" ht="14.4" customHeight="1" x14ac:dyDescent="0.25">
      <c r="A523" s="133" t="s">
        <v>312</v>
      </c>
      <c r="B523" s="134"/>
      <c r="C523" s="134"/>
      <c r="D523" s="135"/>
      <c r="E523" s="12" t="s">
        <v>14</v>
      </c>
      <c r="F523" s="12">
        <v>4</v>
      </c>
      <c r="G523" s="62">
        <f>200000*1.5*1.4</f>
        <v>420000</v>
      </c>
      <c r="H523" s="62">
        <f t="shared" si="30"/>
        <v>1680000</v>
      </c>
    </row>
    <row r="524" spans="1:8" ht="14.4" customHeight="1" x14ac:dyDescent="0.25">
      <c r="A524" s="133" t="s">
        <v>313</v>
      </c>
      <c r="B524" s="134"/>
      <c r="C524" s="134"/>
      <c r="D524" s="135"/>
      <c r="E524" s="12" t="s">
        <v>14</v>
      </c>
      <c r="F524" s="12">
        <v>3</v>
      </c>
      <c r="G524" s="62">
        <f>200000*2.5*2.7</f>
        <v>1350000</v>
      </c>
      <c r="H524" s="62">
        <f t="shared" ref="H524:H526" si="31">F524*G524</f>
        <v>4050000</v>
      </c>
    </row>
    <row r="525" spans="1:8" ht="14.4" customHeight="1" x14ac:dyDescent="0.25">
      <c r="A525" s="133" t="s">
        <v>314</v>
      </c>
      <c r="B525" s="134"/>
      <c r="C525" s="134"/>
      <c r="D525" s="135"/>
      <c r="E525" s="12" t="s">
        <v>14</v>
      </c>
      <c r="F525" s="12">
        <v>1</v>
      </c>
      <c r="G525" s="62">
        <f>200000*1.8*3.2</f>
        <v>1152000</v>
      </c>
      <c r="H525" s="62">
        <f t="shared" si="31"/>
        <v>1152000</v>
      </c>
    </row>
    <row r="526" spans="1:8" ht="14.4" customHeight="1" x14ac:dyDescent="0.25">
      <c r="A526" s="133" t="s">
        <v>315</v>
      </c>
      <c r="B526" s="134"/>
      <c r="C526" s="134"/>
      <c r="D526" s="135"/>
      <c r="E526" s="12" t="s">
        <v>14</v>
      </c>
      <c r="F526" s="12">
        <v>3</v>
      </c>
      <c r="G526" s="62">
        <f>200000*2.5*3.2</f>
        <v>1600000</v>
      </c>
      <c r="H526" s="62">
        <f t="shared" si="31"/>
        <v>4800000</v>
      </c>
    </row>
    <row r="527" spans="1:8" ht="14.4" customHeight="1" x14ac:dyDescent="0.25">
      <c r="A527" s="133" t="s">
        <v>316</v>
      </c>
      <c r="B527" s="134"/>
      <c r="C527" s="134"/>
      <c r="D527" s="135"/>
      <c r="E527" s="12" t="s">
        <v>14</v>
      </c>
      <c r="F527" s="12">
        <v>1</v>
      </c>
      <c r="G527" s="62">
        <f>200000*2.23*3.2</f>
        <v>1427200</v>
      </c>
      <c r="H527" s="62">
        <f t="shared" ref="H527:H528" si="32">F527*G527</f>
        <v>1427200</v>
      </c>
    </row>
    <row r="528" spans="1:8" ht="14.4" customHeight="1" x14ac:dyDescent="0.25">
      <c r="A528" s="133" t="s">
        <v>317</v>
      </c>
      <c r="B528" s="134"/>
      <c r="C528" s="134"/>
      <c r="D528" s="135"/>
      <c r="E528" s="12" t="s">
        <v>14</v>
      </c>
      <c r="F528" s="12">
        <v>1</v>
      </c>
      <c r="G528" s="62">
        <f>200000*1.73*3.2</f>
        <v>1107200</v>
      </c>
      <c r="H528" s="62">
        <f t="shared" si="32"/>
        <v>1107200</v>
      </c>
    </row>
    <row r="529" spans="1:8" ht="14.4" customHeight="1" x14ac:dyDescent="0.25">
      <c r="A529" s="133" t="s">
        <v>61</v>
      </c>
      <c r="B529" s="134"/>
      <c r="C529" s="134"/>
      <c r="D529" s="135"/>
      <c r="E529" s="12"/>
      <c r="F529" s="12">
        <v>85</v>
      </c>
      <c r="G529" s="62">
        <v>20000</v>
      </c>
      <c r="H529" s="62">
        <f>G529*F529</f>
        <v>1700000</v>
      </c>
    </row>
    <row r="530" spans="1:8" x14ac:dyDescent="0.25">
      <c r="A530" s="234" t="s">
        <v>199</v>
      </c>
      <c r="B530" s="235"/>
      <c r="C530" s="235"/>
      <c r="D530" s="235"/>
      <c r="E530" s="235"/>
      <c r="F530" s="235"/>
      <c r="G530" s="236"/>
      <c r="H530" s="79">
        <f>SUM(H520:H529)</f>
        <v>18596400</v>
      </c>
    </row>
    <row r="531" spans="1:8" x14ac:dyDescent="0.25">
      <c r="A531" s="90"/>
      <c r="B531" s="90"/>
      <c r="C531" s="90"/>
      <c r="D531" s="90"/>
      <c r="E531" s="90"/>
      <c r="F531" s="90"/>
      <c r="G531" s="90"/>
      <c r="H531" s="91"/>
    </row>
    <row r="532" spans="1:8" x14ac:dyDescent="0.25">
      <c r="A532" s="154" t="s">
        <v>138</v>
      </c>
      <c r="B532" s="154"/>
      <c r="C532" s="154"/>
      <c r="D532" s="154"/>
      <c r="E532" s="154"/>
      <c r="F532" s="154"/>
      <c r="G532" s="154"/>
      <c r="H532" s="154"/>
    </row>
    <row r="533" spans="1:8" ht="28.8" customHeight="1" x14ac:dyDescent="0.25">
      <c r="A533" s="155" t="s">
        <v>305</v>
      </c>
      <c r="B533" s="156"/>
      <c r="C533" s="156"/>
      <c r="D533" s="157"/>
      <c r="E533" s="2" t="s">
        <v>14</v>
      </c>
      <c r="F533" s="2">
        <v>1</v>
      </c>
      <c r="G533" s="3">
        <f>350000*1.5*3.2</f>
        <v>1680000</v>
      </c>
      <c r="H533" s="3">
        <f>G533*F533</f>
        <v>1680000</v>
      </c>
    </row>
    <row r="534" spans="1:8" ht="14.4" customHeight="1" x14ac:dyDescent="0.25">
      <c r="A534" s="192" t="s">
        <v>307</v>
      </c>
      <c r="B534" s="193"/>
      <c r="C534" s="193"/>
      <c r="D534" s="194"/>
      <c r="E534" s="2" t="s">
        <v>14</v>
      </c>
      <c r="F534" s="2">
        <v>4</v>
      </c>
      <c r="G534" s="3">
        <f>350000*1*3.2</f>
        <v>1120000</v>
      </c>
      <c r="H534" s="3">
        <f t="shared" ref="H534:H535" si="33">G534*F534</f>
        <v>4480000</v>
      </c>
    </row>
    <row r="535" spans="1:8" ht="14.4" customHeight="1" x14ac:dyDescent="0.25">
      <c r="A535" s="192" t="s">
        <v>306</v>
      </c>
      <c r="B535" s="193"/>
      <c r="C535" s="193"/>
      <c r="D535" s="194"/>
      <c r="E535" s="2" t="s">
        <v>14</v>
      </c>
      <c r="F535" s="2">
        <v>4</v>
      </c>
      <c r="G535" s="3">
        <f>350000*0.8*3.2</f>
        <v>896000</v>
      </c>
      <c r="H535" s="3">
        <f t="shared" si="33"/>
        <v>3584000</v>
      </c>
    </row>
    <row r="536" spans="1:8" ht="15" customHeight="1" thickBot="1" x14ac:dyDescent="0.3">
      <c r="A536" s="158" t="s">
        <v>61</v>
      </c>
      <c r="B536" s="159"/>
      <c r="C536" s="159"/>
      <c r="D536" s="159"/>
      <c r="E536" s="160"/>
      <c r="F536" s="2">
        <v>28</v>
      </c>
      <c r="G536" s="3">
        <v>30000</v>
      </c>
      <c r="H536" s="3">
        <f>G536*F536</f>
        <v>840000</v>
      </c>
    </row>
    <row r="537" spans="1:8" ht="14.4" thickBot="1" x14ac:dyDescent="0.3">
      <c r="A537" s="161" t="s">
        <v>139</v>
      </c>
      <c r="B537" s="162"/>
      <c r="C537" s="162"/>
      <c r="D537" s="162"/>
      <c r="E537" s="162"/>
      <c r="F537" s="162"/>
      <c r="G537" s="163"/>
      <c r="H537" s="8">
        <f>SUM(H533:H536)</f>
        <v>10584000</v>
      </c>
    </row>
    <row r="538" spans="1:8" x14ac:dyDescent="0.25">
      <c r="A538" s="90"/>
      <c r="B538" s="90"/>
      <c r="C538" s="90"/>
      <c r="D538" s="90"/>
      <c r="E538" s="90"/>
      <c r="F538" s="90"/>
      <c r="G538" s="90"/>
      <c r="H538" s="91"/>
    </row>
    <row r="539" spans="1:8" x14ac:dyDescent="0.25">
      <c r="A539" s="153" t="s">
        <v>140</v>
      </c>
      <c r="B539" s="153"/>
      <c r="C539" s="153"/>
      <c r="D539" s="153"/>
      <c r="E539" s="153"/>
      <c r="F539" s="153"/>
      <c r="G539" s="153"/>
      <c r="H539" s="153"/>
    </row>
    <row r="540" spans="1:8" x14ac:dyDescent="0.25">
      <c r="A540" s="12">
        <v>11.1</v>
      </c>
      <c r="B540" s="12" t="s">
        <v>234</v>
      </c>
      <c r="C540" s="133" t="s">
        <v>200</v>
      </c>
      <c r="D540" s="135"/>
      <c r="E540" s="12" t="s">
        <v>80</v>
      </c>
      <c r="F540" s="12">
        <v>161</v>
      </c>
      <c r="G540" s="46">
        <v>35000</v>
      </c>
      <c r="H540" s="46">
        <f>G540*F540</f>
        <v>5635000</v>
      </c>
    </row>
    <row r="541" spans="1:8" x14ac:dyDescent="0.25">
      <c r="A541" s="12">
        <v>11.2</v>
      </c>
      <c r="B541" s="12" t="s">
        <v>234</v>
      </c>
      <c r="C541" s="133" t="s">
        <v>201</v>
      </c>
      <c r="D541" s="135"/>
      <c r="E541" s="12" t="s">
        <v>80</v>
      </c>
      <c r="F541" s="12">
        <v>81</v>
      </c>
      <c r="G541" s="46">
        <v>28000</v>
      </c>
      <c r="H541" s="46">
        <f>G541*F541</f>
        <v>2268000</v>
      </c>
    </row>
    <row r="542" spans="1:8" x14ac:dyDescent="0.25">
      <c r="A542" s="12">
        <v>11.3</v>
      </c>
      <c r="B542" s="133" t="s">
        <v>141</v>
      </c>
      <c r="C542" s="134"/>
      <c r="D542" s="135"/>
      <c r="E542" s="12" t="s">
        <v>116</v>
      </c>
      <c r="F542" s="12">
        <v>70</v>
      </c>
      <c r="G542" s="46">
        <v>3000</v>
      </c>
      <c r="H542" s="46">
        <f>G542*F542</f>
        <v>210000</v>
      </c>
    </row>
    <row r="543" spans="1:8" x14ac:dyDescent="0.25">
      <c r="A543" s="12">
        <v>11.4</v>
      </c>
      <c r="B543" s="133" t="s">
        <v>111</v>
      </c>
      <c r="C543" s="134"/>
      <c r="D543" s="135"/>
      <c r="E543" s="12" t="s">
        <v>116</v>
      </c>
      <c r="F543" s="12">
        <v>60</v>
      </c>
      <c r="G543" s="46">
        <v>15000</v>
      </c>
      <c r="H543" s="46">
        <f>G543*F543</f>
        <v>900000</v>
      </c>
    </row>
    <row r="544" spans="1:8" ht="14.4" thickBot="1" x14ac:dyDescent="0.3">
      <c r="A544" s="42">
        <v>11.5</v>
      </c>
      <c r="B544" s="136" t="s">
        <v>16</v>
      </c>
      <c r="C544" s="137"/>
      <c r="D544" s="137"/>
      <c r="E544" s="138"/>
      <c r="F544" s="16">
        <v>345</v>
      </c>
      <c r="G544" s="47">
        <v>8000</v>
      </c>
      <c r="H544" s="46">
        <f>G544*F544</f>
        <v>2760000</v>
      </c>
    </row>
    <row r="545" spans="1:8" ht="14.4" thickBot="1" x14ac:dyDescent="0.3">
      <c r="A545" s="139" t="s">
        <v>142</v>
      </c>
      <c r="B545" s="140"/>
      <c r="C545" s="140"/>
      <c r="D545" s="140"/>
      <c r="E545" s="140"/>
      <c r="F545" s="140"/>
      <c r="G545" s="141"/>
      <c r="H545" s="68">
        <f>SUM(H540:H544)</f>
        <v>11773000</v>
      </c>
    </row>
    <row r="546" spans="1:8" x14ac:dyDescent="0.25">
      <c r="A546" s="39"/>
      <c r="B546" s="39"/>
      <c r="C546" s="39"/>
      <c r="D546" s="39"/>
      <c r="E546" s="39"/>
      <c r="F546" s="39"/>
      <c r="G546" s="69"/>
      <c r="H546" s="70"/>
    </row>
    <row r="547" spans="1:8" x14ac:dyDescent="0.25">
      <c r="A547" s="142" t="s">
        <v>281</v>
      </c>
      <c r="B547" s="143"/>
      <c r="C547" s="143"/>
      <c r="D547" s="144"/>
      <c r="E547" s="95" t="s">
        <v>17</v>
      </c>
      <c r="F547" s="95">
        <v>0</v>
      </c>
      <c r="G547" s="100">
        <v>500000</v>
      </c>
      <c r="H547" s="53">
        <f>F547*G547</f>
        <v>0</v>
      </c>
    </row>
    <row r="548" spans="1:8" x14ac:dyDescent="0.25">
      <c r="A548" s="96"/>
      <c r="B548" s="96"/>
      <c r="C548" s="96"/>
      <c r="D548" s="96"/>
      <c r="E548" s="96"/>
      <c r="F548" s="96"/>
      <c r="G548" s="97"/>
      <c r="H548" s="57"/>
    </row>
    <row r="549" spans="1:8" x14ac:dyDescent="0.25">
      <c r="A549" s="145" t="s">
        <v>270</v>
      </c>
      <c r="B549" s="145"/>
      <c r="C549" s="145"/>
      <c r="D549" s="145"/>
      <c r="E549" s="95" t="s">
        <v>17</v>
      </c>
      <c r="F549" s="95">
        <v>38.299999999999997</v>
      </c>
      <c r="G549" s="100">
        <v>500000</v>
      </c>
      <c r="H549" s="53">
        <f>F549*G549</f>
        <v>19150000</v>
      </c>
    </row>
    <row r="550" spans="1:8" x14ac:dyDescent="0.25">
      <c r="A550" s="96"/>
      <c r="B550" s="96"/>
      <c r="C550" s="96"/>
      <c r="D550" s="96"/>
      <c r="E550" s="96"/>
      <c r="F550" s="96"/>
      <c r="G550" s="97"/>
      <c r="H550" s="57"/>
    </row>
    <row r="551" spans="1:8" x14ac:dyDescent="0.25">
      <c r="A551" s="146" t="s">
        <v>225</v>
      </c>
      <c r="B551" s="147"/>
      <c r="C551" s="147"/>
      <c r="D551" s="147"/>
      <c r="E551" s="147"/>
      <c r="F551" s="147"/>
      <c r="G551" s="147"/>
      <c r="H551" s="148"/>
    </row>
    <row r="552" spans="1:8" ht="40.200000000000003" customHeight="1" x14ac:dyDescent="0.25">
      <c r="A552" s="149" t="s">
        <v>236</v>
      </c>
      <c r="B552" s="149"/>
      <c r="C552" s="22">
        <v>91</v>
      </c>
      <c r="D552" s="22" t="s">
        <v>160</v>
      </c>
      <c r="E552" s="22" t="s">
        <v>226</v>
      </c>
      <c r="F552" s="22">
        <v>6</v>
      </c>
      <c r="G552" s="54">
        <v>41000</v>
      </c>
      <c r="H552" s="54">
        <f>F552*G552</f>
        <v>246000</v>
      </c>
    </row>
    <row r="553" spans="1:8" x14ac:dyDescent="0.25">
      <c r="A553" s="133" t="s">
        <v>61</v>
      </c>
      <c r="B553" s="134"/>
      <c r="C553" s="134"/>
      <c r="D553" s="134"/>
      <c r="E553" s="135"/>
      <c r="F553" s="12">
        <f>C552</f>
        <v>91</v>
      </c>
      <c r="G553" s="46">
        <v>1000</v>
      </c>
      <c r="H553" s="46">
        <f>F553*G553</f>
        <v>91000</v>
      </c>
    </row>
    <row r="554" spans="1:8" x14ac:dyDescent="0.25">
      <c r="A554" s="150" t="s">
        <v>243</v>
      </c>
      <c r="B554" s="151"/>
      <c r="C554" s="151"/>
      <c r="D554" s="151"/>
      <c r="E554" s="151"/>
      <c r="F554" s="151"/>
      <c r="G554" s="152"/>
      <c r="H554" s="53">
        <f>SUM(H552:H553)</f>
        <v>337000</v>
      </c>
    </row>
    <row r="555" spans="1:8" x14ac:dyDescent="0.25">
      <c r="A555" s="26"/>
      <c r="B555" s="19"/>
      <c r="C555" s="19"/>
      <c r="D555" s="19"/>
      <c r="E555" s="19"/>
      <c r="F555" s="19"/>
      <c r="G555" s="81"/>
      <c r="H555" s="82"/>
    </row>
    <row r="556" spans="1:8" x14ac:dyDescent="0.25">
      <c r="A556" s="132" t="s">
        <v>242</v>
      </c>
      <c r="B556" s="132"/>
      <c r="C556" s="132"/>
      <c r="D556" s="132"/>
      <c r="E556" s="132"/>
      <c r="F556" s="132"/>
      <c r="G556" s="132"/>
      <c r="H556" s="59">
        <f>SUM(H554,H549,H547,H545,H537,H530,H517,H496,H490,H484,H466,H449,H439)</f>
        <v>105015900</v>
      </c>
    </row>
    <row r="557" spans="1:8" x14ac:dyDescent="0.25">
      <c r="A557" s="105"/>
      <c r="B557" s="105"/>
      <c r="C557" s="105"/>
      <c r="D557" s="105"/>
      <c r="E557" s="105"/>
      <c r="F557" s="105"/>
      <c r="G557" s="105"/>
      <c r="H557" s="59"/>
    </row>
    <row r="558" spans="1:8" x14ac:dyDescent="0.25">
      <c r="A558" s="132" t="s">
        <v>282</v>
      </c>
      <c r="B558" s="132"/>
      <c r="C558" s="132"/>
      <c r="D558" s="132"/>
      <c r="E558" s="132"/>
      <c r="F558" s="132"/>
      <c r="G558" s="132"/>
      <c r="H558" s="132"/>
    </row>
    <row r="559" spans="1:8" s="10" customFormat="1" ht="15" x14ac:dyDescent="0.3">
      <c r="A559" s="179" t="s">
        <v>204</v>
      </c>
      <c r="B559" s="180"/>
      <c r="C559" s="180"/>
      <c r="D559" s="180"/>
      <c r="E559" s="180"/>
      <c r="F559" s="180"/>
      <c r="G559" s="180"/>
      <c r="H559" s="181"/>
    </row>
    <row r="560" spans="1:8" s="10" customFormat="1" ht="15" x14ac:dyDescent="0.3">
      <c r="A560" s="35">
        <v>1.1000000000000001</v>
      </c>
      <c r="B560" s="133" t="s">
        <v>30</v>
      </c>
      <c r="C560" s="135"/>
      <c r="D560" s="35" t="s">
        <v>205</v>
      </c>
      <c r="E560" s="35" t="s">
        <v>17</v>
      </c>
      <c r="F560" s="35">
        <v>197</v>
      </c>
      <c r="G560" s="62">
        <v>1500</v>
      </c>
      <c r="H560" s="62">
        <f>G560*F560</f>
        <v>295500</v>
      </c>
    </row>
    <row r="561" spans="1:8" s="10" customFormat="1" ht="15" x14ac:dyDescent="0.3">
      <c r="A561" s="35">
        <v>1.2</v>
      </c>
      <c r="B561" s="133" t="s">
        <v>2</v>
      </c>
      <c r="C561" s="135"/>
      <c r="D561" s="35" t="s">
        <v>239</v>
      </c>
      <c r="E561" s="35" t="s">
        <v>238</v>
      </c>
      <c r="F561" s="35">
        <v>11</v>
      </c>
      <c r="G561" s="62">
        <v>3200</v>
      </c>
      <c r="H561" s="62">
        <f>G561*F561</f>
        <v>35200</v>
      </c>
    </row>
    <row r="562" spans="1:8" s="10" customFormat="1" ht="15" x14ac:dyDescent="0.3">
      <c r="A562" s="35">
        <v>1.3</v>
      </c>
      <c r="B562" s="133" t="s">
        <v>2</v>
      </c>
      <c r="C562" s="135"/>
      <c r="D562" s="35" t="s">
        <v>240</v>
      </c>
      <c r="E562" s="35" t="s">
        <v>238</v>
      </c>
      <c r="F562" s="35">
        <v>11</v>
      </c>
      <c r="G562" s="62">
        <v>3200</v>
      </c>
      <c r="H562" s="62">
        <f>G562*F562</f>
        <v>35200</v>
      </c>
    </row>
    <row r="563" spans="1:8" s="10" customFormat="1" ht="15" x14ac:dyDescent="0.3">
      <c r="A563" s="35">
        <v>1.4</v>
      </c>
      <c r="B563" s="133" t="s">
        <v>206</v>
      </c>
      <c r="C563" s="134"/>
      <c r="D563" s="134"/>
      <c r="E563" s="134"/>
      <c r="F563" s="134"/>
      <c r="G563" s="135"/>
      <c r="H563" s="62">
        <v>150000</v>
      </c>
    </row>
    <row r="564" spans="1:8" s="10" customFormat="1" ht="15" x14ac:dyDescent="0.3">
      <c r="A564" s="35">
        <v>1.5</v>
      </c>
      <c r="B564" s="133" t="s">
        <v>16</v>
      </c>
      <c r="C564" s="134"/>
      <c r="D564" s="134"/>
      <c r="E564" s="134"/>
      <c r="F564" s="134"/>
      <c r="G564" s="135"/>
      <c r="H564" s="62">
        <v>600000</v>
      </c>
    </row>
    <row r="565" spans="1:8" s="10" customFormat="1" ht="15" x14ac:dyDescent="0.3">
      <c r="A565" s="182" t="s">
        <v>207</v>
      </c>
      <c r="B565" s="182"/>
      <c r="C565" s="182"/>
      <c r="D565" s="182"/>
      <c r="E565" s="182"/>
      <c r="F565" s="182"/>
      <c r="G565" s="182"/>
      <c r="H565" s="65">
        <f>SUM(H560:H564)</f>
        <v>1115900</v>
      </c>
    </row>
    <row r="566" spans="1:8" s="10" customFormat="1" ht="15.6" thickBot="1" x14ac:dyDescent="0.35">
      <c r="A566" s="38"/>
      <c r="B566" s="38"/>
      <c r="C566" s="38"/>
      <c r="D566" s="38"/>
      <c r="E566" s="38"/>
      <c r="F566" s="38"/>
      <c r="G566" s="66"/>
      <c r="H566" s="67"/>
    </row>
    <row r="567" spans="1:8" ht="14.4" thickBot="1" x14ac:dyDescent="0.3">
      <c r="A567" s="183" t="s">
        <v>197</v>
      </c>
      <c r="B567" s="184"/>
      <c r="C567" s="184"/>
      <c r="D567" s="184"/>
      <c r="E567" s="184"/>
      <c r="F567" s="184"/>
      <c r="G567" s="184"/>
      <c r="H567" s="185"/>
    </row>
    <row r="568" spans="1:8" x14ac:dyDescent="0.25">
      <c r="A568" s="186" t="s">
        <v>63</v>
      </c>
      <c r="B568" s="187"/>
      <c r="C568" s="187"/>
      <c r="D568" s="187"/>
      <c r="E568" s="187"/>
      <c r="F568" s="187"/>
      <c r="G568" s="187"/>
      <c r="H568" s="188"/>
    </row>
    <row r="569" spans="1:8" x14ac:dyDescent="0.25">
      <c r="A569" s="189" t="s">
        <v>64</v>
      </c>
      <c r="B569" s="190"/>
      <c r="C569" s="190"/>
      <c r="D569" s="191"/>
      <c r="E569" s="22"/>
      <c r="F569" s="22"/>
      <c r="G569" s="54"/>
      <c r="H569" s="54"/>
    </row>
    <row r="570" spans="1:8" x14ac:dyDescent="0.25">
      <c r="A570" s="133" t="s">
        <v>65</v>
      </c>
      <c r="B570" s="134"/>
      <c r="C570" s="134"/>
      <c r="D570" s="135"/>
      <c r="E570" s="12" t="s">
        <v>6</v>
      </c>
      <c r="F570" s="12">
        <v>5</v>
      </c>
      <c r="G570" s="46">
        <v>3000</v>
      </c>
      <c r="H570" s="46">
        <f>G570*F570</f>
        <v>15000</v>
      </c>
    </row>
    <row r="571" spans="1:8" x14ac:dyDescent="0.25">
      <c r="A571" s="133" t="s">
        <v>66</v>
      </c>
      <c r="B571" s="134"/>
      <c r="C571" s="134"/>
      <c r="D571" s="135"/>
      <c r="E571" s="12" t="s">
        <v>6</v>
      </c>
      <c r="F571" s="12">
        <v>5</v>
      </c>
      <c r="G571" s="46">
        <v>3000</v>
      </c>
      <c r="H571" s="46">
        <f>G571*F571</f>
        <v>15000</v>
      </c>
    </row>
    <row r="572" spans="1:8" x14ac:dyDescent="0.25">
      <c r="A572" s="133" t="s">
        <v>67</v>
      </c>
      <c r="B572" s="134"/>
      <c r="C572" s="134"/>
      <c r="D572" s="135"/>
      <c r="E572" s="12" t="s">
        <v>6</v>
      </c>
      <c r="F572" s="12">
        <v>30</v>
      </c>
      <c r="G572" s="46">
        <v>3000</v>
      </c>
      <c r="H572" s="46">
        <f>G572*F572</f>
        <v>90000</v>
      </c>
    </row>
    <row r="573" spans="1:8" x14ac:dyDescent="0.25">
      <c r="A573" s="133" t="s">
        <v>68</v>
      </c>
      <c r="B573" s="134"/>
      <c r="C573" s="134"/>
      <c r="D573" s="135"/>
      <c r="E573" s="12" t="s">
        <v>6</v>
      </c>
      <c r="F573" s="12">
        <v>20</v>
      </c>
      <c r="G573" s="46">
        <v>500</v>
      </c>
      <c r="H573" s="46">
        <f>G573*F573</f>
        <v>10000</v>
      </c>
    </row>
    <row r="574" spans="1:8" s="9" customFormat="1" ht="14.4" thickBot="1" x14ac:dyDescent="0.3">
      <c r="A574" s="136" t="s">
        <v>69</v>
      </c>
      <c r="B574" s="137"/>
      <c r="C574" s="137"/>
      <c r="D574" s="137"/>
      <c r="E574" s="137"/>
      <c r="F574" s="137"/>
      <c r="G574" s="138"/>
      <c r="H574" s="47">
        <v>200000</v>
      </c>
    </row>
    <row r="575" spans="1:8" ht="14.4" thickBot="1" x14ac:dyDescent="0.3">
      <c r="A575" s="139" t="s">
        <v>70</v>
      </c>
      <c r="B575" s="140"/>
      <c r="C575" s="140"/>
      <c r="D575" s="140"/>
      <c r="E575" s="140"/>
      <c r="F575" s="140"/>
      <c r="G575" s="141"/>
      <c r="H575" s="68">
        <f>SUM(H570:H574)</f>
        <v>330000</v>
      </c>
    </row>
    <row r="576" spans="1:8" x14ac:dyDescent="0.25">
      <c r="A576" s="39"/>
      <c r="B576" s="39"/>
      <c r="C576" s="39"/>
      <c r="D576" s="39"/>
      <c r="E576" s="39"/>
      <c r="F576" s="39"/>
      <c r="G576" s="69"/>
      <c r="H576" s="70"/>
    </row>
    <row r="577" spans="1:8" x14ac:dyDescent="0.25">
      <c r="A577" s="153" t="s">
        <v>170</v>
      </c>
      <c r="B577" s="153"/>
      <c r="C577" s="153"/>
      <c r="D577" s="153"/>
      <c r="E577" s="153"/>
      <c r="F577" s="153"/>
      <c r="G577" s="153"/>
      <c r="H577" s="153"/>
    </row>
    <row r="578" spans="1:8" x14ac:dyDescent="0.25">
      <c r="A578" s="133" t="s">
        <v>71</v>
      </c>
      <c r="B578" s="134"/>
      <c r="C578" s="134"/>
      <c r="D578" s="134"/>
      <c r="E578" s="134"/>
      <c r="F578" s="134"/>
      <c r="G578" s="134"/>
      <c r="H578" s="135"/>
    </row>
    <row r="579" spans="1:8" x14ac:dyDescent="0.25">
      <c r="A579" s="12"/>
      <c r="B579" s="133" t="s">
        <v>72</v>
      </c>
      <c r="C579" s="134"/>
      <c r="D579" s="135"/>
      <c r="E579" s="12" t="s">
        <v>73</v>
      </c>
      <c r="F579" s="12">
        <v>1</v>
      </c>
      <c r="G579" s="46">
        <v>80000</v>
      </c>
      <c r="H579" s="46">
        <f>G579*F579</f>
        <v>80000</v>
      </c>
    </row>
    <row r="580" spans="1:8" x14ac:dyDescent="0.25">
      <c r="A580" s="12"/>
      <c r="B580" s="133" t="s">
        <v>74</v>
      </c>
      <c r="C580" s="134"/>
      <c r="D580" s="135"/>
      <c r="E580" s="12" t="s">
        <v>73</v>
      </c>
      <c r="F580" s="12">
        <v>1</v>
      </c>
      <c r="G580" s="46">
        <v>80000</v>
      </c>
      <c r="H580" s="46">
        <f>G580*F580</f>
        <v>80000</v>
      </c>
    </row>
    <row r="581" spans="1:8" x14ac:dyDescent="0.25">
      <c r="A581" s="12"/>
      <c r="B581" s="133" t="s">
        <v>75</v>
      </c>
      <c r="C581" s="134"/>
      <c r="D581" s="135"/>
      <c r="E581" s="12" t="s">
        <v>73</v>
      </c>
      <c r="F581" s="12">
        <v>1</v>
      </c>
      <c r="G581" s="46">
        <v>80000</v>
      </c>
      <c r="H581" s="46">
        <f>G581*F581</f>
        <v>80000</v>
      </c>
    </row>
    <row r="582" spans="1:8" x14ac:dyDescent="0.25">
      <c r="A582" s="133" t="s">
        <v>76</v>
      </c>
      <c r="B582" s="134"/>
      <c r="C582" s="134"/>
      <c r="D582" s="134"/>
      <c r="E582" s="134"/>
      <c r="F582" s="134"/>
      <c r="G582" s="134"/>
      <c r="H582" s="135"/>
    </row>
    <row r="583" spans="1:8" x14ac:dyDescent="0.25">
      <c r="A583" s="12"/>
      <c r="B583" s="133" t="s">
        <v>72</v>
      </c>
      <c r="C583" s="134"/>
      <c r="D583" s="135"/>
      <c r="E583" s="12" t="s">
        <v>73</v>
      </c>
      <c r="F583" s="12">
        <v>1</v>
      </c>
      <c r="G583" s="46">
        <v>55000</v>
      </c>
      <c r="H583" s="46">
        <f t="shared" ref="H583:H590" si="34">G583*F583</f>
        <v>55000</v>
      </c>
    </row>
    <row r="584" spans="1:8" x14ac:dyDescent="0.25">
      <c r="A584" s="12"/>
      <c r="B584" s="133" t="s">
        <v>74</v>
      </c>
      <c r="C584" s="134"/>
      <c r="D584" s="135"/>
      <c r="E584" s="12" t="s">
        <v>73</v>
      </c>
      <c r="F584" s="12">
        <v>1</v>
      </c>
      <c r="G584" s="46">
        <v>55000</v>
      </c>
      <c r="H584" s="46">
        <f t="shared" si="34"/>
        <v>55000</v>
      </c>
    </row>
    <row r="585" spans="1:8" x14ac:dyDescent="0.25">
      <c r="A585" s="12"/>
      <c r="B585" s="133" t="s">
        <v>75</v>
      </c>
      <c r="C585" s="134"/>
      <c r="D585" s="135"/>
      <c r="E585" s="12" t="s">
        <v>73</v>
      </c>
      <c r="F585" s="12">
        <v>1</v>
      </c>
      <c r="G585" s="46">
        <v>55000</v>
      </c>
      <c r="H585" s="46">
        <f t="shared" si="34"/>
        <v>55000</v>
      </c>
    </row>
    <row r="586" spans="1:8" x14ac:dyDescent="0.25">
      <c r="A586" s="133" t="s">
        <v>77</v>
      </c>
      <c r="B586" s="134"/>
      <c r="C586" s="134"/>
      <c r="D586" s="135"/>
      <c r="E586" s="12" t="s">
        <v>164</v>
      </c>
      <c r="F586" s="12">
        <v>30</v>
      </c>
      <c r="G586" s="46">
        <v>2000</v>
      </c>
      <c r="H586" s="46">
        <f t="shared" si="34"/>
        <v>60000</v>
      </c>
    </row>
    <row r="587" spans="1:8" x14ac:dyDescent="0.25">
      <c r="A587" s="133" t="s">
        <v>78</v>
      </c>
      <c r="B587" s="134"/>
      <c r="C587" s="134"/>
      <c r="D587" s="135"/>
      <c r="E587" s="12" t="s">
        <v>164</v>
      </c>
      <c r="F587" s="12">
        <v>20</v>
      </c>
      <c r="G587" s="46">
        <v>500</v>
      </c>
      <c r="H587" s="46">
        <f t="shared" si="34"/>
        <v>10000</v>
      </c>
    </row>
    <row r="588" spans="1:8" x14ac:dyDescent="0.25">
      <c r="A588" s="133" t="s">
        <v>165</v>
      </c>
      <c r="B588" s="134"/>
      <c r="C588" s="134"/>
      <c r="D588" s="135"/>
      <c r="E588" s="12" t="s">
        <v>164</v>
      </c>
      <c r="F588" s="12">
        <v>14</v>
      </c>
      <c r="G588" s="46">
        <v>500</v>
      </c>
      <c r="H588" s="46">
        <f t="shared" si="34"/>
        <v>7000</v>
      </c>
    </row>
    <row r="589" spans="1:8" x14ac:dyDescent="0.25">
      <c r="A589" s="133" t="s">
        <v>166</v>
      </c>
      <c r="B589" s="134"/>
      <c r="C589" s="134"/>
      <c r="D589" s="135"/>
      <c r="E589" s="12" t="s">
        <v>164</v>
      </c>
      <c r="F589" s="12">
        <v>10</v>
      </c>
      <c r="G589" s="46">
        <v>500</v>
      </c>
      <c r="H589" s="46">
        <f t="shared" si="34"/>
        <v>5000</v>
      </c>
    </row>
    <row r="590" spans="1:8" x14ac:dyDescent="0.25">
      <c r="A590" s="133" t="s">
        <v>79</v>
      </c>
      <c r="B590" s="134"/>
      <c r="C590" s="134"/>
      <c r="D590" s="135"/>
      <c r="E590" s="12" t="s">
        <v>80</v>
      </c>
      <c r="F590" s="12">
        <v>5</v>
      </c>
      <c r="G590" s="46">
        <v>500</v>
      </c>
      <c r="H590" s="46">
        <f t="shared" si="34"/>
        <v>2500</v>
      </c>
    </row>
    <row r="591" spans="1:8" s="9" customFormat="1" ht="14.4" thickBot="1" x14ac:dyDescent="0.3">
      <c r="A591" s="136" t="s">
        <v>81</v>
      </c>
      <c r="B591" s="137"/>
      <c r="C591" s="137"/>
      <c r="D591" s="137"/>
      <c r="E591" s="137"/>
      <c r="F591" s="137"/>
      <c r="G591" s="138"/>
      <c r="H591" s="47">
        <v>800000</v>
      </c>
    </row>
    <row r="592" spans="1:8" ht="14.4" thickBot="1" x14ac:dyDescent="0.3">
      <c r="A592" s="139" t="s">
        <v>82</v>
      </c>
      <c r="B592" s="140"/>
      <c r="C592" s="140"/>
      <c r="D592" s="140"/>
      <c r="E592" s="140"/>
      <c r="F592" s="140"/>
      <c r="G592" s="141"/>
      <c r="H592" s="68">
        <f>SUM(H579:H591)</f>
        <v>1289500</v>
      </c>
    </row>
    <row r="593" spans="1:8" x14ac:dyDescent="0.25">
      <c r="A593" s="39"/>
      <c r="B593" s="39"/>
      <c r="C593" s="39"/>
      <c r="D593" s="39"/>
      <c r="E593" s="39"/>
      <c r="F593" s="39"/>
      <c r="G593" s="71"/>
      <c r="H593" s="72"/>
    </row>
    <row r="594" spans="1:8" x14ac:dyDescent="0.25">
      <c r="A594" s="146" t="s">
        <v>171</v>
      </c>
      <c r="B594" s="147"/>
      <c r="C594" s="147"/>
      <c r="D594" s="147"/>
      <c r="E594" s="147"/>
      <c r="F594" s="147"/>
      <c r="G594" s="147"/>
      <c r="H594" s="148"/>
    </row>
    <row r="595" spans="1:8" x14ac:dyDescent="0.25">
      <c r="A595" s="133" t="s">
        <v>172</v>
      </c>
      <c r="B595" s="134"/>
      <c r="C595" s="134"/>
      <c r="D595" s="135"/>
      <c r="E595" s="12" t="s">
        <v>6</v>
      </c>
      <c r="F595" s="12">
        <v>2</v>
      </c>
      <c r="G595" s="46">
        <v>15000</v>
      </c>
      <c r="H595" s="46">
        <f t="shared" ref="H595:H608" si="35">G595*F595</f>
        <v>30000</v>
      </c>
    </row>
    <row r="596" spans="1:8" x14ac:dyDescent="0.25">
      <c r="A596" s="133" t="s">
        <v>173</v>
      </c>
      <c r="B596" s="134"/>
      <c r="C596" s="134"/>
      <c r="D596" s="135"/>
      <c r="E596" s="12" t="s">
        <v>6</v>
      </c>
      <c r="F596" s="12">
        <v>1</v>
      </c>
      <c r="G596" s="46">
        <v>15000</v>
      </c>
      <c r="H596" s="46">
        <f t="shared" si="35"/>
        <v>15000</v>
      </c>
    </row>
    <row r="597" spans="1:8" x14ac:dyDescent="0.25">
      <c r="A597" s="133" t="s">
        <v>174</v>
      </c>
      <c r="B597" s="134"/>
      <c r="C597" s="134"/>
      <c r="D597" s="135"/>
      <c r="E597" s="12" t="s">
        <v>6</v>
      </c>
      <c r="F597" s="12">
        <v>2</v>
      </c>
      <c r="G597" s="46">
        <v>9000</v>
      </c>
      <c r="H597" s="46">
        <f t="shared" si="35"/>
        <v>18000</v>
      </c>
    </row>
    <row r="598" spans="1:8" x14ac:dyDescent="0.25">
      <c r="A598" s="133" t="s">
        <v>175</v>
      </c>
      <c r="B598" s="134"/>
      <c r="C598" s="134"/>
      <c r="D598" s="135"/>
      <c r="E598" s="12" t="s">
        <v>6</v>
      </c>
      <c r="F598" s="12">
        <v>1</v>
      </c>
      <c r="G598" s="46">
        <v>12000</v>
      </c>
      <c r="H598" s="46">
        <f t="shared" si="35"/>
        <v>12000</v>
      </c>
    </row>
    <row r="599" spans="1:8" x14ac:dyDescent="0.25">
      <c r="A599" s="133" t="s">
        <v>83</v>
      </c>
      <c r="B599" s="134"/>
      <c r="C599" s="134"/>
      <c r="D599" s="135"/>
      <c r="E599" s="12" t="s">
        <v>6</v>
      </c>
      <c r="F599" s="12">
        <v>1</v>
      </c>
      <c r="G599" s="46">
        <v>50000</v>
      </c>
      <c r="H599" s="46">
        <f t="shared" si="35"/>
        <v>50000</v>
      </c>
    </row>
    <row r="600" spans="1:8" x14ac:dyDescent="0.25">
      <c r="A600" s="133" t="s">
        <v>176</v>
      </c>
      <c r="B600" s="134"/>
      <c r="C600" s="134"/>
      <c r="D600" s="135"/>
      <c r="E600" s="12" t="s">
        <v>6</v>
      </c>
      <c r="F600" s="12">
        <v>5</v>
      </c>
      <c r="G600" s="46">
        <v>6000</v>
      </c>
      <c r="H600" s="46">
        <f t="shared" si="35"/>
        <v>30000</v>
      </c>
    </row>
    <row r="601" spans="1:8" x14ac:dyDescent="0.25">
      <c r="A601" s="133" t="s">
        <v>177</v>
      </c>
      <c r="B601" s="134"/>
      <c r="C601" s="134"/>
      <c r="D601" s="135"/>
      <c r="E601" s="12" t="s">
        <v>6</v>
      </c>
      <c r="F601" s="12">
        <v>5</v>
      </c>
      <c r="G601" s="46">
        <v>6000</v>
      </c>
      <c r="H601" s="46">
        <f t="shared" si="35"/>
        <v>30000</v>
      </c>
    </row>
    <row r="602" spans="1:8" x14ac:dyDescent="0.25">
      <c r="A602" s="133" t="s">
        <v>178</v>
      </c>
      <c r="B602" s="134"/>
      <c r="C602" s="134"/>
      <c r="D602" s="135"/>
      <c r="E602" s="12" t="s">
        <v>6</v>
      </c>
      <c r="F602" s="12">
        <v>0</v>
      </c>
      <c r="G602" s="46">
        <v>25000</v>
      </c>
      <c r="H602" s="46">
        <f t="shared" si="35"/>
        <v>0</v>
      </c>
    </row>
    <row r="603" spans="1:8" x14ac:dyDescent="0.25">
      <c r="A603" s="133" t="s">
        <v>84</v>
      </c>
      <c r="B603" s="134"/>
      <c r="C603" s="134"/>
      <c r="D603" s="135"/>
      <c r="E603" s="12" t="s">
        <v>6</v>
      </c>
      <c r="F603" s="12">
        <v>2</v>
      </c>
      <c r="G603" s="46">
        <v>6000</v>
      </c>
      <c r="H603" s="46">
        <f t="shared" si="35"/>
        <v>12000</v>
      </c>
    </row>
    <row r="604" spans="1:8" x14ac:dyDescent="0.25">
      <c r="A604" s="133" t="s">
        <v>85</v>
      </c>
      <c r="B604" s="134"/>
      <c r="C604" s="134"/>
      <c r="D604" s="135"/>
      <c r="E604" s="12" t="s">
        <v>6</v>
      </c>
      <c r="F604" s="12">
        <v>1</v>
      </c>
      <c r="G604" s="46">
        <v>7000</v>
      </c>
      <c r="H604" s="46">
        <f t="shared" si="35"/>
        <v>7000</v>
      </c>
    </row>
    <row r="605" spans="1:8" x14ac:dyDescent="0.25">
      <c r="A605" s="133" t="s">
        <v>86</v>
      </c>
      <c r="B605" s="134"/>
      <c r="C605" s="134"/>
      <c r="D605" s="135"/>
      <c r="E605" s="12" t="s">
        <v>6</v>
      </c>
      <c r="F605" s="12">
        <v>0</v>
      </c>
      <c r="G605" s="46">
        <v>6000</v>
      </c>
      <c r="H605" s="46">
        <f t="shared" si="35"/>
        <v>0</v>
      </c>
    </row>
    <row r="606" spans="1:8" x14ac:dyDescent="0.25">
      <c r="A606" s="133" t="s">
        <v>87</v>
      </c>
      <c r="B606" s="134"/>
      <c r="C606" s="134"/>
      <c r="D606" s="135"/>
      <c r="E606" s="12" t="s">
        <v>6</v>
      </c>
      <c r="F606" s="12">
        <v>1</v>
      </c>
      <c r="G606" s="46">
        <v>35000</v>
      </c>
      <c r="H606" s="46">
        <f t="shared" si="35"/>
        <v>35000</v>
      </c>
    </row>
    <row r="607" spans="1:8" x14ac:dyDescent="0.25">
      <c r="A607" s="133" t="s">
        <v>88</v>
      </c>
      <c r="B607" s="134"/>
      <c r="C607" s="134"/>
      <c r="D607" s="135"/>
      <c r="E607" s="12" t="s">
        <v>6</v>
      </c>
      <c r="F607" s="12">
        <v>0</v>
      </c>
      <c r="G607" s="46">
        <v>25000</v>
      </c>
      <c r="H607" s="46">
        <f t="shared" si="35"/>
        <v>0</v>
      </c>
    </row>
    <row r="608" spans="1:8" x14ac:dyDescent="0.25">
      <c r="A608" s="133" t="s">
        <v>89</v>
      </c>
      <c r="B608" s="134"/>
      <c r="C608" s="134"/>
      <c r="D608" s="135"/>
      <c r="E608" s="12" t="s">
        <v>6</v>
      </c>
      <c r="F608" s="12">
        <v>10</v>
      </c>
      <c r="G608" s="46">
        <v>40000</v>
      </c>
      <c r="H608" s="46">
        <f t="shared" si="35"/>
        <v>400000</v>
      </c>
    </row>
    <row r="609" spans="1:8" s="9" customFormat="1" x14ac:dyDescent="0.25">
      <c r="A609" s="133" t="s">
        <v>90</v>
      </c>
      <c r="B609" s="134"/>
      <c r="C609" s="134"/>
      <c r="D609" s="134"/>
      <c r="E609" s="134"/>
      <c r="F609" s="134"/>
      <c r="G609" s="135"/>
      <c r="H609" s="46">
        <v>400000</v>
      </c>
    </row>
    <row r="610" spans="1:8" x14ac:dyDescent="0.25">
      <c r="A610" s="174" t="s">
        <v>91</v>
      </c>
      <c r="B610" s="175"/>
      <c r="C610" s="175"/>
      <c r="D610" s="175"/>
      <c r="E610" s="175"/>
      <c r="F610" s="175"/>
      <c r="G610" s="176"/>
      <c r="H610" s="73">
        <f>SUM(H595:H609)</f>
        <v>1039000</v>
      </c>
    </row>
    <row r="611" spans="1:8" x14ac:dyDescent="0.25">
      <c r="A611" s="39"/>
      <c r="B611" s="39"/>
      <c r="C611" s="39"/>
      <c r="D611" s="39"/>
      <c r="E611" s="39"/>
      <c r="F611" s="39"/>
      <c r="G611" s="69"/>
      <c r="H611" s="70"/>
    </row>
    <row r="612" spans="1:8" s="10" customFormat="1" ht="15" x14ac:dyDescent="0.3">
      <c r="A612" s="177" t="s">
        <v>208</v>
      </c>
      <c r="B612" s="178"/>
      <c r="C612" s="179" t="s">
        <v>209</v>
      </c>
      <c r="D612" s="180"/>
      <c r="E612" s="180"/>
      <c r="F612" s="180"/>
      <c r="G612" s="180"/>
      <c r="H612" s="181"/>
    </row>
    <row r="613" spans="1:8" s="10" customFormat="1" ht="15" x14ac:dyDescent="0.3">
      <c r="A613" s="35">
        <v>3.1</v>
      </c>
      <c r="B613" s="133" t="s">
        <v>210</v>
      </c>
      <c r="C613" s="134"/>
      <c r="D613" s="135"/>
      <c r="E613" s="35" t="s">
        <v>110</v>
      </c>
      <c r="F613" s="35">
        <v>19</v>
      </c>
      <c r="G613" s="62">
        <v>17500</v>
      </c>
      <c r="H613" s="62">
        <f>G613*F613</f>
        <v>332500</v>
      </c>
    </row>
    <row r="614" spans="1:8" s="10" customFormat="1" ht="15" x14ac:dyDescent="0.3">
      <c r="A614" s="35">
        <v>3.3</v>
      </c>
      <c r="B614" s="133" t="s">
        <v>211</v>
      </c>
      <c r="C614" s="134"/>
      <c r="D614" s="135"/>
      <c r="E614" s="35" t="s">
        <v>212</v>
      </c>
      <c r="F614" s="35">
        <v>5</v>
      </c>
      <c r="G614" s="62">
        <v>5000</v>
      </c>
      <c r="H614" s="62">
        <f>G614*F614</f>
        <v>25000</v>
      </c>
    </row>
    <row r="615" spans="1:8" s="10" customFormat="1" ht="15" x14ac:dyDescent="0.3">
      <c r="A615" s="35">
        <v>3.6</v>
      </c>
      <c r="B615" s="133" t="s">
        <v>112</v>
      </c>
      <c r="C615" s="134"/>
      <c r="D615" s="134"/>
      <c r="E615" s="134"/>
      <c r="F615" s="134"/>
      <c r="G615" s="135"/>
      <c r="H615" s="62">
        <v>600000</v>
      </c>
    </row>
    <row r="616" spans="1:8" s="10" customFormat="1" ht="15" x14ac:dyDescent="0.3">
      <c r="A616" s="171" t="s">
        <v>213</v>
      </c>
      <c r="B616" s="172"/>
      <c r="C616" s="172"/>
      <c r="D616" s="172"/>
      <c r="E616" s="172"/>
      <c r="F616" s="172"/>
      <c r="G616" s="173"/>
      <c r="H616" s="76">
        <f>SUM(H613:H615)</f>
        <v>957500</v>
      </c>
    </row>
    <row r="617" spans="1:8" x14ac:dyDescent="0.25">
      <c r="A617" s="39"/>
      <c r="B617" s="39"/>
      <c r="C617" s="39"/>
      <c r="D617" s="39"/>
      <c r="E617" s="39"/>
      <c r="F617" s="39"/>
      <c r="G617" s="69"/>
      <c r="H617" s="70"/>
    </row>
    <row r="618" spans="1:8" x14ac:dyDescent="0.25">
      <c r="A618" s="153" t="s">
        <v>109</v>
      </c>
      <c r="B618" s="153"/>
      <c r="C618" s="153"/>
      <c r="D618" s="153"/>
      <c r="E618" s="153"/>
      <c r="F618" s="153"/>
      <c r="G618" s="153"/>
      <c r="H618" s="153"/>
    </row>
    <row r="619" spans="1:8" x14ac:dyDescent="0.25">
      <c r="A619" s="12">
        <v>7.1</v>
      </c>
      <c r="B619" s="133" t="s">
        <v>19</v>
      </c>
      <c r="C619" s="134"/>
      <c r="D619" s="135"/>
      <c r="E619" s="12" t="s">
        <v>18</v>
      </c>
      <c r="F619" s="12">
        <v>19</v>
      </c>
      <c r="G619" s="46">
        <v>30000</v>
      </c>
      <c r="H619" s="46">
        <f>G619*F619</f>
        <v>570000</v>
      </c>
    </row>
    <row r="620" spans="1:8" x14ac:dyDescent="0.25">
      <c r="A620" s="12">
        <v>7.2</v>
      </c>
      <c r="B620" s="133" t="s">
        <v>111</v>
      </c>
      <c r="C620" s="134"/>
      <c r="D620" s="135"/>
      <c r="E620" s="12" t="s">
        <v>26</v>
      </c>
      <c r="F620" s="12">
        <v>90</v>
      </c>
      <c r="G620" s="46">
        <v>17500</v>
      </c>
      <c r="H620" s="46">
        <f>G620*F620</f>
        <v>1575000</v>
      </c>
    </row>
    <row r="621" spans="1:8" s="9" customFormat="1" ht="14.4" thickBot="1" x14ac:dyDescent="0.3">
      <c r="A621" s="16">
        <v>7.3</v>
      </c>
      <c r="B621" s="136" t="s">
        <v>112</v>
      </c>
      <c r="C621" s="137"/>
      <c r="D621" s="137"/>
      <c r="E621" s="138"/>
      <c r="F621" s="16">
        <f>F619</f>
        <v>19</v>
      </c>
      <c r="G621" s="47">
        <v>117000</v>
      </c>
      <c r="H621" s="46">
        <f>G621*F621</f>
        <v>2223000</v>
      </c>
    </row>
    <row r="622" spans="1:8" ht="14.4" thickBot="1" x14ac:dyDescent="0.3">
      <c r="A622" s="139" t="s">
        <v>113</v>
      </c>
      <c r="B622" s="140"/>
      <c r="C622" s="140"/>
      <c r="D622" s="140"/>
      <c r="E622" s="140"/>
      <c r="F622" s="140"/>
      <c r="G622" s="141"/>
      <c r="H622" s="68">
        <f>SUM(H619:H621)</f>
        <v>4368000</v>
      </c>
    </row>
    <row r="623" spans="1:8" x14ac:dyDescent="0.25">
      <c r="A623" s="40"/>
      <c r="B623" s="40"/>
      <c r="C623" s="40"/>
      <c r="D623" s="40"/>
      <c r="E623" s="40"/>
      <c r="F623" s="40"/>
      <c r="G623" s="74"/>
      <c r="H623" s="75"/>
    </row>
    <row r="624" spans="1:8" x14ac:dyDescent="0.25">
      <c r="A624" s="170" t="s">
        <v>114</v>
      </c>
      <c r="B624" s="170"/>
      <c r="C624" s="170"/>
      <c r="D624" s="170"/>
      <c r="E624" s="170"/>
      <c r="F624" s="170"/>
      <c r="G624" s="170"/>
      <c r="H624" s="170"/>
    </row>
    <row r="625" spans="1:8" x14ac:dyDescent="0.25">
      <c r="A625" s="153" t="s">
        <v>181</v>
      </c>
      <c r="B625" s="153"/>
      <c r="C625" s="153"/>
      <c r="D625" s="153"/>
      <c r="E625" s="153"/>
      <c r="F625" s="153"/>
      <c r="G625" s="153"/>
      <c r="H625" s="153"/>
    </row>
    <row r="626" spans="1:8" ht="14.4" customHeight="1" x14ac:dyDescent="0.25">
      <c r="A626" s="12" t="s">
        <v>115</v>
      </c>
      <c r="B626" s="164" t="s">
        <v>266</v>
      </c>
      <c r="C626" s="165"/>
      <c r="D626" s="166"/>
      <c r="E626" s="12" t="s">
        <v>14</v>
      </c>
      <c r="F626" s="12">
        <v>25</v>
      </c>
      <c r="G626" s="46">
        <v>19500</v>
      </c>
      <c r="H626" s="46">
        <f t="shared" ref="H626:H634" si="36">G626*F626</f>
        <v>487500</v>
      </c>
    </row>
    <row r="627" spans="1:8" ht="14.4" customHeight="1" x14ac:dyDescent="0.25">
      <c r="A627" s="12" t="s">
        <v>117</v>
      </c>
      <c r="B627" s="133" t="s">
        <v>118</v>
      </c>
      <c r="C627" s="134"/>
      <c r="D627" s="135"/>
      <c r="E627" s="12" t="s">
        <v>119</v>
      </c>
      <c r="F627" s="12">
        <v>14</v>
      </c>
      <c r="G627" s="46">
        <v>3000</v>
      </c>
      <c r="H627" s="46">
        <f t="shared" si="36"/>
        <v>42000</v>
      </c>
    </row>
    <row r="628" spans="1:8" ht="14.4" customHeight="1" x14ac:dyDescent="0.25">
      <c r="A628" s="12" t="s">
        <v>120</v>
      </c>
      <c r="B628" s="133" t="s">
        <v>267</v>
      </c>
      <c r="C628" s="134"/>
      <c r="D628" s="135"/>
      <c r="E628" s="12" t="s">
        <v>245</v>
      </c>
      <c r="F628" s="12">
        <v>1</v>
      </c>
      <c r="G628" s="46">
        <v>7000</v>
      </c>
      <c r="H628" s="46">
        <f t="shared" si="36"/>
        <v>7000</v>
      </c>
    </row>
    <row r="629" spans="1:8" ht="14.4" customHeight="1" x14ac:dyDescent="0.25">
      <c r="A629" s="12" t="s">
        <v>121</v>
      </c>
      <c r="B629" s="133" t="s">
        <v>253</v>
      </c>
      <c r="C629" s="134"/>
      <c r="D629" s="135"/>
      <c r="E629" s="12" t="s">
        <v>14</v>
      </c>
      <c r="F629" s="12">
        <v>10</v>
      </c>
      <c r="G629" s="46">
        <v>110000</v>
      </c>
      <c r="H629" s="46">
        <f t="shared" si="36"/>
        <v>1100000</v>
      </c>
    </row>
    <row r="630" spans="1:8" ht="14.4" customHeight="1" x14ac:dyDescent="0.25">
      <c r="A630" s="12" t="s">
        <v>123</v>
      </c>
      <c r="B630" s="133" t="s">
        <v>254</v>
      </c>
      <c r="C630" s="134"/>
      <c r="D630" s="135"/>
      <c r="E630" s="12" t="s">
        <v>122</v>
      </c>
      <c r="F630" s="12">
        <v>3</v>
      </c>
      <c r="G630" s="46">
        <v>50000</v>
      </c>
      <c r="H630" s="46">
        <f t="shared" si="36"/>
        <v>150000</v>
      </c>
    </row>
    <row r="631" spans="1:8" ht="14.4" customHeight="1" x14ac:dyDescent="0.25">
      <c r="A631" s="12" t="s">
        <v>262</v>
      </c>
      <c r="B631" s="101" t="s">
        <v>259</v>
      </c>
      <c r="C631" s="102"/>
      <c r="D631" s="102"/>
      <c r="E631" s="106" t="s">
        <v>14</v>
      </c>
      <c r="F631" s="12">
        <v>1</v>
      </c>
      <c r="G631" s="46">
        <v>53000</v>
      </c>
      <c r="H631" s="46">
        <f t="shared" si="36"/>
        <v>53000</v>
      </c>
    </row>
    <row r="632" spans="1:8" ht="14.4" customHeight="1" x14ac:dyDescent="0.25">
      <c r="A632" s="12" t="s">
        <v>263</v>
      </c>
      <c r="B632" s="101" t="s">
        <v>260</v>
      </c>
      <c r="C632" s="102"/>
      <c r="D632" s="102"/>
      <c r="E632" s="106" t="s">
        <v>14</v>
      </c>
      <c r="F632" s="12">
        <v>7</v>
      </c>
      <c r="G632" s="46">
        <v>3000</v>
      </c>
      <c r="H632" s="46">
        <f t="shared" si="36"/>
        <v>21000</v>
      </c>
    </row>
    <row r="633" spans="1:8" ht="14.4" customHeight="1" x14ac:dyDescent="0.25">
      <c r="A633" s="12" t="s">
        <v>264</v>
      </c>
      <c r="B633" s="101" t="s">
        <v>261</v>
      </c>
      <c r="C633" s="102"/>
      <c r="D633" s="102"/>
      <c r="E633" s="106" t="s">
        <v>14</v>
      </c>
      <c r="F633" s="12">
        <v>7</v>
      </c>
      <c r="G633" s="46">
        <v>3500</v>
      </c>
      <c r="H633" s="46">
        <f t="shared" si="36"/>
        <v>24500</v>
      </c>
    </row>
    <row r="634" spans="1:8" ht="14.4" customHeight="1" x14ac:dyDescent="0.25">
      <c r="A634" s="12" t="s">
        <v>265</v>
      </c>
      <c r="B634" s="133" t="s">
        <v>255</v>
      </c>
      <c r="C634" s="134"/>
      <c r="D634" s="134"/>
      <c r="E634" s="106" t="s">
        <v>14</v>
      </c>
      <c r="F634" s="12">
        <v>2</v>
      </c>
      <c r="G634" s="46">
        <v>110000</v>
      </c>
      <c r="H634" s="46">
        <f t="shared" si="36"/>
        <v>220000</v>
      </c>
    </row>
    <row r="635" spans="1:8" x14ac:dyDescent="0.25">
      <c r="A635" s="41"/>
      <c r="B635" s="41"/>
      <c r="C635" s="41"/>
      <c r="D635" s="41"/>
      <c r="E635" s="41"/>
      <c r="F635" s="41"/>
      <c r="G635" s="78"/>
      <c r="H635" s="78"/>
    </row>
    <row r="636" spans="1:8" x14ac:dyDescent="0.25">
      <c r="A636" s="153" t="s">
        <v>182</v>
      </c>
      <c r="B636" s="153"/>
      <c r="C636" s="153"/>
      <c r="D636" s="153"/>
      <c r="E636" s="153"/>
      <c r="F636" s="153"/>
      <c r="G636" s="153"/>
      <c r="H636" s="153"/>
    </row>
    <row r="637" spans="1:8" ht="14.4" customHeight="1" x14ac:dyDescent="0.25">
      <c r="A637" s="12" t="s">
        <v>124</v>
      </c>
      <c r="B637" s="133" t="s">
        <v>256</v>
      </c>
      <c r="C637" s="134"/>
      <c r="D637" s="135"/>
      <c r="E637" s="12" t="s">
        <v>257</v>
      </c>
      <c r="F637" s="12">
        <v>3</v>
      </c>
      <c r="G637" s="46">
        <v>190000</v>
      </c>
      <c r="H637" s="46">
        <f t="shared" ref="H637:H641" si="37">G637*F637</f>
        <v>570000</v>
      </c>
    </row>
    <row r="638" spans="1:8" ht="14.4" customHeight="1" x14ac:dyDescent="0.25">
      <c r="A638" s="12" t="s">
        <v>125</v>
      </c>
      <c r="B638" s="164" t="s">
        <v>258</v>
      </c>
      <c r="C638" s="165"/>
      <c r="D638" s="166"/>
      <c r="E638" s="12" t="s">
        <v>14</v>
      </c>
      <c r="F638" s="12">
        <v>10</v>
      </c>
      <c r="G638" s="46">
        <v>5000</v>
      </c>
      <c r="H638" s="46">
        <f t="shared" si="37"/>
        <v>50000</v>
      </c>
    </row>
    <row r="639" spans="1:8" ht="14.4" customHeight="1" x14ac:dyDescent="0.25">
      <c r="A639" s="12" t="s">
        <v>126</v>
      </c>
      <c r="B639" s="167" t="s">
        <v>128</v>
      </c>
      <c r="C639" s="168"/>
      <c r="D639" s="169"/>
      <c r="E639" s="12" t="s">
        <v>129</v>
      </c>
      <c r="F639" s="12">
        <v>1</v>
      </c>
      <c r="G639" s="46">
        <v>15000</v>
      </c>
      <c r="H639" s="46">
        <f t="shared" si="37"/>
        <v>15000</v>
      </c>
    </row>
    <row r="640" spans="1:8" ht="14.4" customHeight="1" x14ac:dyDescent="0.25">
      <c r="A640" s="12" t="s">
        <v>127</v>
      </c>
      <c r="B640" s="133" t="s">
        <v>131</v>
      </c>
      <c r="C640" s="134"/>
      <c r="D640" s="135"/>
      <c r="E640" s="12" t="s">
        <v>132</v>
      </c>
      <c r="F640" s="12">
        <v>1</v>
      </c>
      <c r="G640" s="46">
        <v>53000</v>
      </c>
      <c r="H640" s="46">
        <f t="shared" si="37"/>
        <v>53000</v>
      </c>
    </row>
    <row r="641" spans="1:8" ht="14.4" customHeight="1" x14ac:dyDescent="0.25">
      <c r="A641" s="12" t="s">
        <v>130</v>
      </c>
      <c r="B641" s="164" t="s">
        <v>134</v>
      </c>
      <c r="C641" s="165"/>
      <c r="D641" s="166"/>
      <c r="E641" s="12" t="s">
        <v>135</v>
      </c>
      <c r="F641" s="12">
        <v>2</v>
      </c>
      <c r="G641" s="46">
        <v>180000</v>
      </c>
      <c r="H641" s="46">
        <f t="shared" si="37"/>
        <v>360000</v>
      </c>
    </row>
    <row r="642" spans="1:8" s="9" customFormat="1" ht="15" customHeight="1" thickBot="1" x14ac:dyDescent="0.3">
      <c r="A642" s="12" t="s">
        <v>133</v>
      </c>
      <c r="B642" s="136" t="s">
        <v>136</v>
      </c>
      <c r="C642" s="137"/>
      <c r="D642" s="137"/>
      <c r="E642" s="137"/>
      <c r="F642" s="137"/>
      <c r="G642" s="138"/>
      <c r="H642" s="47">
        <v>5000000</v>
      </c>
    </row>
    <row r="643" spans="1:8" ht="14.4" thickBot="1" x14ac:dyDescent="0.3">
      <c r="A643" s="139" t="s">
        <v>137</v>
      </c>
      <c r="B643" s="140"/>
      <c r="C643" s="140"/>
      <c r="D643" s="140"/>
      <c r="E643" s="140"/>
      <c r="F643" s="140"/>
      <c r="G643" s="141"/>
      <c r="H643" s="68">
        <f>SUM(H625:H642)</f>
        <v>8153000</v>
      </c>
    </row>
    <row r="644" spans="1:8" x14ac:dyDescent="0.25">
      <c r="A644" s="39"/>
      <c r="B644" s="39"/>
      <c r="C644" s="39"/>
      <c r="D644" s="39"/>
      <c r="E644" s="39"/>
      <c r="F644" s="39"/>
      <c r="G644" s="69"/>
      <c r="H644" s="70"/>
    </row>
    <row r="645" spans="1:8" x14ac:dyDescent="0.25">
      <c r="A645" s="154" t="s">
        <v>138</v>
      </c>
      <c r="B645" s="154"/>
      <c r="C645" s="154"/>
      <c r="D645" s="154"/>
      <c r="E645" s="154"/>
      <c r="F645" s="154"/>
      <c r="G645" s="154"/>
      <c r="H645" s="154"/>
    </row>
    <row r="646" spans="1:8" ht="28.8" customHeight="1" x14ac:dyDescent="0.25">
      <c r="A646" s="155" t="s">
        <v>323</v>
      </c>
      <c r="B646" s="156"/>
      <c r="C646" s="156"/>
      <c r="D646" s="157"/>
      <c r="E646" s="2" t="s">
        <v>14</v>
      </c>
      <c r="F646" s="2">
        <v>1</v>
      </c>
      <c r="G646" s="3">
        <f>350000*1.5*3</f>
        <v>1575000</v>
      </c>
      <c r="H646" s="3">
        <f>G646*F646</f>
        <v>1575000</v>
      </c>
    </row>
    <row r="647" spans="1:8" ht="15" customHeight="1" thickBot="1" x14ac:dyDescent="0.3">
      <c r="A647" s="158" t="s">
        <v>61</v>
      </c>
      <c r="B647" s="159"/>
      <c r="C647" s="159"/>
      <c r="D647" s="159"/>
      <c r="E647" s="160"/>
      <c r="F647" s="2">
        <v>5</v>
      </c>
      <c r="G647" s="3">
        <v>30000</v>
      </c>
      <c r="H647" s="3">
        <f>G647*F647</f>
        <v>150000</v>
      </c>
    </row>
    <row r="648" spans="1:8" ht="14.4" thickBot="1" x14ac:dyDescent="0.3">
      <c r="A648" s="161" t="s">
        <v>139</v>
      </c>
      <c r="B648" s="162"/>
      <c r="C648" s="162"/>
      <c r="D648" s="162"/>
      <c r="E648" s="162"/>
      <c r="F648" s="162"/>
      <c r="G648" s="163"/>
      <c r="H648" s="8">
        <f>SUM(H646:H647)</f>
        <v>1725000</v>
      </c>
    </row>
    <row r="649" spans="1:8" x14ac:dyDescent="0.25">
      <c r="A649" s="130"/>
      <c r="B649" s="130"/>
      <c r="C649" s="130"/>
      <c r="D649" s="130"/>
      <c r="E649" s="130"/>
      <c r="F649" s="130"/>
      <c r="G649" s="130"/>
      <c r="H649" s="131"/>
    </row>
    <row r="650" spans="1:8" x14ac:dyDescent="0.25">
      <c r="A650" s="153" t="s">
        <v>140</v>
      </c>
      <c r="B650" s="153"/>
      <c r="C650" s="153"/>
      <c r="D650" s="153"/>
      <c r="E650" s="153"/>
      <c r="F650" s="153"/>
      <c r="G650" s="153"/>
      <c r="H650" s="153"/>
    </row>
    <row r="651" spans="1:8" x14ac:dyDescent="0.25">
      <c r="A651" s="12">
        <v>11.1</v>
      </c>
      <c r="B651" s="12" t="s">
        <v>234</v>
      </c>
      <c r="C651" s="133" t="s">
        <v>200</v>
      </c>
      <c r="D651" s="135"/>
      <c r="E651" s="12" t="s">
        <v>80</v>
      </c>
      <c r="F651" s="12">
        <v>79</v>
      </c>
      <c r="G651" s="46">
        <v>35000</v>
      </c>
      <c r="H651" s="46">
        <f>G651*F651</f>
        <v>2765000</v>
      </c>
    </row>
    <row r="652" spans="1:8" x14ac:dyDescent="0.25">
      <c r="A652" s="12">
        <v>11.2</v>
      </c>
      <c r="B652" s="12" t="s">
        <v>234</v>
      </c>
      <c r="C652" s="133" t="s">
        <v>201</v>
      </c>
      <c r="D652" s="135"/>
      <c r="E652" s="12" t="s">
        <v>80</v>
      </c>
      <c r="F652" s="12">
        <v>0</v>
      </c>
      <c r="G652" s="46">
        <v>28000</v>
      </c>
      <c r="H652" s="46">
        <f>G652*F652</f>
        <v>0</v>
      </c>
    </row>
    <row r="653" spans="1:8" x14ac:dyDescent="0.25">
      <c r="A653" s="12">
        <v>11.3</v>
      </c>
      <c r="B653" s="133" t="s">
        <v>141</v>
      </c>
      <c r="C653" s="134"/>
      <c r="D653" s="135"/>
      <c r="E653" s="12" t="s">
        <v>116</v>
      </c>
      <c r="F653" s="12">
        <v>23</v>
      </c>
      <c r="G653" s="46">
        <v>3000</v>
      </c>
      <c r="H653" s="46">
        <f>G653*F653</f>
        <v>69000</v>
      </c>
    </row>
    <row r="654" spans="1:8" x14ac:dyDescent="0.25">
      <c r="A654" s="12">
        <v>11.4</v>
      </c>
      <c r="B654" s="133" t="s">
        <v>111</v>
      </c>
      <c r="C654" s="134"/>
      <c r="D654" s="135"/>
      <c r="E654" s="12" t="s">
        <v>116</v>
      </c>
      <c r="F654" s="12">
        <v>20</v>
      </c>
      <c r="G654" s="46">
        <v>15000</v>
      </c>
      <c r="H654" s="46">
        <f>G654*F654</f>
        <v>300000</v>
      </c>
    </row>
    <row r="655" spans="1:8" ht="14.4" thickBot="1" x14ac:dyDescent="0.3">
      <c r="A655" s="42">
        <v>11.5</v>
      </c>
      <c r="B655" s="136" t="s">
        <v>16</v>
      </c>
      <c r="C655" s="137"/>
      <c r="D655" s="137"/>
      <c r="E655" s="138"/>
      <c r="F655" s="16">
        <v>113</v>
      </c>
      <c r="G655" s="47">
        <v>8200</v>
      </c>
      <c r="H655" s="46">
        <f>G655*F655</f>
        <v>926600</v>
      </c>
    </row>
    <row r="656" spans="1:8" ht="14.4" thickBot="1" x14ac:dyDescent="0.3">
      <c r="A656" s="139" t="s">
        <v>142</v>
      </c>
      <c r="B656" s="140"/>
      <c r="C656" s="140"/>
      <c r="D656" s="140"/>
      <c r="E656" s="140"/>
      <c r="F656" s="140"/>
      <c r="G656" s="141"/>
      <c r="H656" s="68">
        <f>SUM(H651:H655)</f>
        <v>4060600</v>
      </c>
    </row>
    <row r="657" spans="1:8" x14ac:dyDescent="0.25">
      <c r="A657" s="39"/>
      <c r="B657" s="39"/>
      <c r="C657" s="39"/>
      <c r="D657" s="39"/>
      <c r="E657" s="39"/>
      <c r="F657" s="39"/>
      <c r="G657" s="69"/>
      <c r="H657" s="70"/>
    </row>
    <row r="658" spans="1:8" x14ac:dyDescent="0.25">
      <c r="A658" s="142" t="s">
        <v>281</v>
      </c>
      <c r="B658" s="143"/>
      <c r="C658" s="143"/>
      <c r="D658" s="144"/>
      <c r="E658" s="104" t="s">
        <v>17</v>
      </c>
      <c r="F658" s="104">
        <v>0</v>
      </c>
      <c r="G658" s="100">
        <v>500000</v>
      </c>
      <c r="H658" s="53">
        <f>F658*G658</f>
        <v>0</v>
      </c>
    </row>
    <row r="659" spans="1:8" x14ac:dyDescent="0.25">
      <c r="A659" s="107"/>
      <c r="B659" s="107"/>
      <c r="C659" s="107"/>
      <c r="D659" s="107"/>
      <c r="E659" s="107"/>
      <c r="F659" s="107"/>
      <c r="G659" s="97"/>
      <c r="H659" s="57"/>
    </row>
    <row r="660" spans="1:8" x14ac:dyDescent="0.25">
      <c r="A660" s="145" t="s">
        <v>270</v>
      </c>
      <c r="B660" s="145"/>
      <c r="C660" s="145"/>
      <c r="D660" s="145"/>
      <c r="E660" s="104" t="s">
        <v>17</v>
      </c>
      <c r="F660" s="104">
        <v>15.2</v>
      </c>
      <c r="G660" s="100">
        <v>500000</v>
      </c>
      <c r="H660" s="53">
        <f>F660*G660</f>
        <v>7600000</v>
      </c>
    </row>
    <row r="661" spans="1:8" x14ac:dyDescent="0.25">
      <c r="A661" s="107"/>
      <c r="B661" s="107"/>
      <c r="C661" s="107"/>
      <c r="D661" s="107"/>
      <c r="E661" s="107"/>
      <c r="F661" s="107"/>
      <c r="G661" s="97"/>
      <c r="H661" s="57"/>
    </row>
    <row r="662" spans="1:8" x14ac:dyDescent="0.25">
      <c r="A662" s="146" t="s">
        <v>225</v>
      </c>
      <c r="B662" s="147"/>
      <c r="C662" s="147"/>
      <c r="D662" s="147"/>
      <c r="E662" s="147"/>
      <c r="F662" s="147"/>
      <c r="G662" s="147"/>
      <c r="H662" s="148"/>
    </row>
    <row r="663" spans="1:8" ht="40.200000000000003" customHeight="1" x14ac:dyDescent="0.25">
      <c r="A663" s="149" t="s">
        <v>236</v>
      </c>
      <c r="B663" s="149"/>
      <c r="C663" s="22">
        <v>68</v>
      </c>
      <c r="D663" s="22" t="s">
        <v>160</v>
      </c>
      <c r="E663" s="22" t="s">
        <v>226</v>
      </c>
      <c r="F663" s="22">
        <v>5</v>
      </c>
      <c r="G663" s="54">
        <v>41000</v>
      </c>
      <c r="H663" s="54">
        <f>F663*G663</f>
        <v>205000</v>
      </c>
    </row>
    <row r="664" spans="1:8" x14ac:dyDescent="0.25">
      <c r="A664" s="133" t="s">
        <v>61</v>
      </c>
      <c r="B664" s="134"/>
      <c r="C664" s="134"/>
      <c r="D664" s="134"/>
      <c r="E664" s="135"/>
      <c r="F664" s="12">
        <f>C663</f>
        <v>68</v>
      </c>
      <c r="G664" s="46">
        <v>1000</v>
      </c>
      <c r="H664" s="46">
        <f>F664*G664</f>
        <v>68000</v>
      </c>
    </row>
    <row r="665" spans="1:8" x14ac:dyDescent="0.25">
      <c r="A665" s="150" t="s">
        <v>243</v>
      </c>
      <c r="B665" s="151"/>
      <c r="C665" s="151"/>
      <c r="D665" s="151"/>
      <c r="E665" s="151"/>
      <c r="F665" s="151"/>
      <c r="G665" s="152"/>
      <c r="H665" s="53">
        <f>SUM(H663:H664)</f>
        <v>273000</v>
      </c>
    </row>
    <row r="666" spans="1:8" x14ac:dyDescent="0.25">
      <c r="A666" s="26"/>
      <c r="B666" s="19"/>
      <c r="C666" s="19"/>
      <c r="D666" s="19"/>
      <c r="E666" s="19"/>
      <c r="F666" s="19"/>
      <c r="G666" s="81"/>
      <c r="H666" s="82"/>
    </row>
    <row r="667" spans="1:8" x14ac:dyDescent="0.25">
      <c r="A667" s="132" t="s">
        <v>283</v>
      </c>
      <c r="B667" s="132"/>
      <c r="C667" s="132"/>
      <c r="D667" s="132"/>
      <c r="E667" s="132"/>
      <c r="F667" s="132"/>
      <c r="G667" s="132"/>
      <c r="H667" s="59">
        <f>SUM(H665,H660,H658,H656,H648,H643,H622,H616,H610,H592,H575,H565)</f>
        <v>30911500</v>
      </c>
    </row>
    <row r="668" spans="1:8" s="7" customFormat="1" ht="15" customHeight="1" x14ac:dyDescent="0.25">
      <c r="A668" s="45"/>
      <c r="B668" s="45"/>
      <c r="C668" s="45"/>
      <c r="D668" s="45"/>
      <c r="E668" s="45"/>
      <c r="F668" s="45"/>
      <c r="G668" s="58"/>
      <c r="H668" s="58"/>
    </row>
    <row r="669" spans="1:8" x14ac:dyDescent="0.25">
      <c r="A669" s="132" t="s">
        <v>230</v>
      </c>
      <c r="B669" s="132"/>
      <c r="C669" s="132"/>
      <c r="D669" s="132"/>
      <c r="E669" s="132"/>
      <c r="F669" s="132"/>
      <c r="G669" s="132"/>
      <c r="H669" s="85">
        <f>SUM(H667,H556,H430)</f>
        <v>256533600</v>
      </c>
    </row>
    <row r="670" spans="1:8" x14ac:dyDescent="0.25">
      <c r="A670" s="11"/>
      <c r="B670" s="11"/>
      <c r="C670" s="11"/>
      <c r="D670" s="11"/>
      <c r="E670" s="11"/>
      <c r="F670" s="11"/>
      <c r="G670" s="61"/>
      <c r="H670" s="85"/>
    </row>
    <row r="671" spans="1:8" s="9" customFormat="1" x14ac:dyDescent="0.25">
      <c r="A671" s="233" t="s">
        <v>322</v>
      </c>
      <c r="B671" s="233"/>
      <c r="C671" s="233"/>
      <c r="D671" s="233"/>
      <c r="E671" s="233"/>
      <c r="F671" s="233"/>
      <c r="G671" s="233"/>
      <c r="H671" s="99">
        <f>SUM(H669,H249)</f>
        <v>549521000</v>
      </c>
    </row>
    <row r="672" spans="1:8" x14ac:dyDescent="0.25">
      <c r="A672" s="34"/>
      <c r="B672" s="34"/>
      <c r="C672" s="34"/>
      <c r="D672" s="34"/>
      <c r="E672" s="34"/>
      <c r="F672" s="34"/>
      <c r="G672" s="59"/>
      <c r="H672" s="85"/>
    </row>
  </sheetData>
  <mergeCells count="567">
    <mergeCell ref="A51:D51"/>
    <mergeCell ref="A103:D103"/>
    <mergeCell ref="A104:C104"/>
    <mergeCell ref="A105:C105"/>
    <mergeCell ref="A106:C106"/>
    <mergeCell ref="A107:C107"/>
    <mergeCell ref="A108:C108"/>
    <mergeCell ref="A109:C109"/>
    <mergeCell ref="A110:C110"/>
    <mergeCell ref="A85:C85"/>
    <mergeCell ref="A88:C88"/>
    <mergeCell ref="A90:D90"/>
    <mergeCell ref="A91:D91"/>
    <mergeCell ref="A92:D92"/>
    <mergeCell ref="A86:D86"/>
    <mergeCell ref="A96:D96"/>
    <mergeCell ref="A97:C97"/>
    <mergeCell ref="A73:D73"/>
    <mergeCell ref="A74:D74"/>
    <mergeCell ref="A549:D549"/>
    <mergeCell ref="A369:H369"/>
    <mergeCell ref="A370:D370"/>
    <mergeCell ref="A371:D371"/>
    <mergeCell ref="A372:D372"/>
    <mergeCell ref="A373:D373"/>
    <mergeCell ref="A378:D378"/>
    <mergeCell ref="A379:G379"/>
    <mergeCell ref="A381:H381"/>
    <mergeCell ref="A382:D382"/>
    <mergeCell ref="A383:D383"/>
    <mergeCell ref="A385:E385"/>
    <mergeCell ref="A386:G386"/>
    <mergeCell ref="A547:D547"/>
    <mergeCell ref="A421:D421"/>
    <mergeCell ref="A423:D423"/>
    <mergeCell ref="A446:D446"/>
    <mergeCell ref="A447:D447"/>
    <mergeCell ref="A448:G448"/>
    <mergeCell ref="A449:G449"/>
    <mergeCell ref="A451:H451"/>
    <mergeCell ref="A452:H452"/>
    <mergeCell ref="B453:D453"/>
    <mergeCell ref="B543:D543"/>
    <mergeCell ref="A519:H519"/>
    <mergeCell ref="A456:H456"/>
    <mergeCell ref="B457:D457"/>
    <mergeCell ref="B458:D458"/>
    <mergeCell ref="A460:D460"/>
    <mergeCell ref="A461:D461"/>
    <mergeCell ref="A462:D462"/>
    <mergeCell ref="A463:D463"/>
    <mergeCell ref="A464:D464"/>
    <mergeCell ref="A465:G465"/>
    <mergeCell ref="B459:D459"/>
    <mergeCell ref="A472:D472"/>
    <mergeCell ref="A477:D477"/>
    <mergeCell ref="A468:H468"/>
    <mergeCell ref="B504:D504"/>
    <mergeCell ref="B500:D500"/>
    <mergeCell ref="B501:D501"/>
    <mergeCell ref="B502:D502"/>
    <mergeCell ref="B503:D503"/>
    <mergeCell ref="B508:D508"/>
    <mergeCell ref="A510:H510"/>
    <mergeCell ref="B511:D511"/>
    <mergeCell ref="A470:D470"/>
    <mergeCell ref="A441:H441"/>
    <mergeCell ref="A442:H442"/>
    <mergeCell ref="A443:D443"/>
    <mergeCell ref="A444:D444"/>
    <mergeCell ref="A445:D445"/>
    <mergeCell ref="B413:D413"/>
    <mergeCell ref="B414:D414"/>
    <mergeCell ref="B415:D415"/>
    <mergeCell ref="B416:G416"/>
    <mergeCell ref="A428:G428"/>
    <mergeCell ref="B436:C436"/>
    <mergeCell ref="B437:G437"/>
    <mergeCell ref="A270:G270"/>
    <mergeCell ref="A269:D269"/>
    <mergeCell ref="A267:D267"/>
    <mergeCell ref="A471:D471"/>
    <mergeCell ref="B454:D454"/>
    <mergeCell ref="B455:D455"/>
    <mergeCell ref="A342:H342"/>
    <mergeCell ref="A346:G346"/>
    <mergeCell ref="A336:D336"/>
    <mergeCell ref="A337:D337"/>
    <mergeCell ref="B438:G438"/>
    <mergeCell ref="A439:G439"/>
    <mergeCell ref="B353:D353"/>
    <mergeCell ref="B358:D358"/>
    <mergeCell ref="B399:D399"/>
    <mergeCell ref="B400:D400"/>
    <mergeCell ref="B402:D402"/>
    <mergeCell ref="A433:H433"/>
    <mergeCell ref="B434:C434"/>
    <mergeCell ref="B435:C435"/>
    <mergeCell ref="B365:D365"/>
    <mergeCell ref="B366:G366"/>
    <mergeCell ref="B407:D407"/>
    <mergeCell ref="B408:D408"/>
    <mergeCell ref="A283:D283"/>
    <mergeCell ref="A282:D282"/>
    <mergeCell ref="A268:D268"/>
    <mergeCell ref="B412:D412"/>
    <mergeCell ref="B255:C255"/>
    <mergeCell ref="B256:C256"/>
    <mergeCell ref="B257:C257"/>
    <mergeCell ref="B258:G258"/>
    <mergeCell ref="B259:G259"/>
    <mergeCell ref="A317:B317"/>
    <mergeCell ref="B318:D318"/>
    <mergeCell ref="B319:D319"/>
    <mergeCell ref="B320:G320"/>
    <mergeCell ref="B281:D281"/>
    <mergeCell ref="B280:D280"/>
    <mergeCell ref="B279:D279"/>
    <mergeCell ref="A265:D265"/>
    <mergeCell ref="A264:D264"/>
    <mergeCell ref="A263:H263"/>
    <mergeCell ref="A278:H278"/>
    <mergeCell ref="B277:D277"/>
    <mergeCell ref="B276:D276"/>
    <mergeCell ref="B275:D275"/>
    <mergeCell ref="A274:H274"/>
    <mergeCell ref="A301:D301"/>
    <mergeCell ref="A302:D302"/>
    <mergeCell ref="A303:D303"/>
    <mergeCell ref="A304:D304"/>
    <mergeCell ref="A305:G305"/>
    <mergeCell ref="A287:G287"/>
    <mergeCell ref="A286:D286"/>
    <mergeCell ref="A285:D285"/>
    <mergeCell ref="A284:D284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290:H290"/>
    <mergeCell ref="A291:D291"/>
    <mergeCell ref="A3:B3"/>
    <mergeCell ref="C8:D8"/>
    <mergeCell ref="C4:D4"/>
    <mergeCell ref="C3:D3"/>
    <mergeCell ref="C5:D5"/>
    <mergeCell ref="A54:C54"/>
    <mergeCell ref="A26:D26"/>
    <mergeCell ref="A396:H396"/>
    <mergeCell ref="B391:D391"/>
    <mergeCell ref="C389:D389"/>
    <mergeCell ref="C390:D390"/>
    <mergeCell ref="B350:D350"/>
    <mergeCell ref="A388:H388"/>
    <mergeCell ref="B363:D363"/>
    <mergeCell ref="B364:D364"/>
    <mergeCell ref="A348:H348"/>
    <mergeCell ref="A349:H349"/>
    <mergeCell ref="B393:E393"/>
    <mergeCell ref="B392:D392"/>
    <mergeCell ref="A394:G394"/>
    <mergeCell ref="B351:D351"/>
    <mergeCell ref="B352:D352"/>
    <mergeCell ref="B354:D354"/>
    <mergeCell ref="B361:D361"/>
    <mergeCell ref="A1:H1"/>
    <mergeCell ref="A2:H2"/>
    <mergeCell ref="A10:G10"/>
    <mergeCell ref="A12:H12"/>
    <mergeCell ref="A17:G17"/>
    <mergeCell ref="A64:H64"/>
    <mergeCell ref="A69:G69"/>
    <mergeCell ref="A47:G47"/>
    <mergeCell ref="A49:H49"/>
    <mergeCell ref="A60:G60"/>
    <mergeCell ref="A62:G62"/>
    <mergeCell ref="A24:H24"/>
    <mergeCell ref="A34:G34"/>
    <mergeCell ref="A36:H36"/>
    <mergeCell ref="A41:G41"/>
    <mergeCell ref="A43:H43"/>
    <mergeCell ref="C6:D6"/>
    <mergeCell ref="C7:D7"/>
    <mergeCell ref="A13:D13"/>
    <mergeCell ref="A14:D14"/>
    <mergeCell ref="A15:D15"/>
    <mergeCell ref="A16:D16"/>
    <mergeCell ref="A25:D25"/>
    <mergeCell ref="A40:D40"/>
    <mergeCell ref="A122:D122"/>
    <mergeCell ref="A123:D123"/>
    <mergeCell ref="A124:D124"/>
    <mergeCell ref="A95:H95"/>
    <mergeCell ref="A100:G100"/>
    <mergeCell ref="A119:G119"/>
    <mergeCell ref="A121:H121"/>
    <mergeCell ref="A116:G116"/>
    <mergeCell ref="A117:G117"/>
    <mergeCell ref="A102:H102"/>
    <mergeCell ref="A111:C111"/>
    <mergeCell ref="A112:C112"/>
    <mergeCell ref="A113:C113"/>
    <mergeCell ref="A114:C114"/>
    <mergeCell ref="A115:C115"/>
    <mergeCell ref="A530:G530"/>
    <mergeCell ref="A551:H551"/>
    <mergeCell ref="A499:H499"/>
    <mergeCell ref="C540:D540"/>
    <mergeCell ref="C541:D541"/>
    <mergeCell ref="B542:D542"/>
    <mergeCell ref="A249:G249"/>
    <mergeCell ref="A175:C175"/>
    <mergeCell ref="A176:C176"/>
    <mergeCell ref="A177:C177"/>
    <mergeCell ref="A178:C178"/>
    <mergeCell ref="A179:G179"/>
    <mergeCell ref="B362:D362"/>
    <mergeCell ref="A309:H309"/>
    <mergeCell ref="A310:D310"/>
    <mergeCell ref="A311:D311"/>
    <mergeCell ref="A312:D312"/>
    <mergeCell ref="A313:D313"/>
    <mergeCell ref="A314:D314"/>
    <mergeCell ref="A325:H325"/>
    <mergeCell ref="A331:H331"/>
    <mergeCell ref="A340:G340"/>
    <mergeCell ref="A329:D329"/>
    <mergeCell ref="A338:D338"/>
    <mergeCell ref="A19:H19"/>
    <mergeCell ref="A20:D20"/>
    <mergeCell ref="A21:E21"/>
    <mergeCell ref="A22:G22"/>
    <mergeCell ref="A9:G9"/>
    <mergeCell ref="A45:D45"/>
    <mergeCell ref="A46:D46"/>
    <mergeCell ref="A50:D50"/>
    <mergeCell ref="A669:G669"/>
    <mergeCell ref="A671:G671"/>
    <mergeCell ref="A556:G556"/>
    <mergeCell ref="A473:D473"/>
    <mergeCell ref="A474:D474"/>
    <mergeCell ref="A475:D475"/>
    <mergeCell ref="A476:D476"/>
    <mergeCell ref="A478:D478"/>
    <mergeCell ref="A479:D479"/>
    <mergeCell ref="A486:B486"/>
    <mergeCell ref="C486:H486"/>
    <mergeCell ref="B487:D487"/>
    <mergeCell ref="B512:D512"/>
    <mergeCell ref="B513:D513"/>
    <mergeCell ref="B514:D514"/>
    <mergeCell ref="A432:H432"/>
    <mergeCell ref="A27:C27"/>
    <mergeCell ref="A29:D29"/>
    <mergeCell ref="A31:D31"/>
    <mergeCell ref="A32:D32"/>
    <mergeCell ref="A33:D33"/>
    <mergeCell ref="A37:D37"/>
    <mergeCell ref="A38:D38"/>
    <mergeCell ref="A39:D39"/>
    <mergeCell ref="A30:D30"/>
    <mergeCell ref="A55:D55"/>
    <mergeCell ref="A56:D56"/>
    <mergeCell ref="A57:D57"/>
    <mergeCell ref="A58:D58"/>
    <mergeCell ref="A59:D59"/>
    <mergeCell ref="A65:D65"/>
    <mergeCell ref="A66:D66"/>
    <mergeCell ref="A67:D67"/>
    <mergeCell ref="A68:D68"/>
    <mergeCell ref="A98:D98"/>
    <mergeCell ref="A99:D99"/>
    <mergeCell ref="A44:D44"/>
    <mergeCell ref="A164:D164"/>
    <mergeCell ref="A165:D165"/>
    <mergeCell ref="A126:G126"/>
    <mergeCell ref="A128:H128"/>
    <mergeCell ref="A136:D136"/>
    <mergeCell ref="A140:C140"/>
    <mergeCell ref="A141:C141"/>
    <mergeCell ref="A142:C142"/>
    <mergeCell ref="A52:D52"/>
    <mergeCell ref="A53:C53"/>
    <mergeCell ref="A430:G430"/>
    <mergeCell ref="A166:D166"/>
    <mergeCell ref="A167:C167"/>
    <mergeCell ref="A168:C168"/>
    <mergeCell ref="A169:C169"/>
    <mergeCell ref="A170:C170"/>
    <mergeCell ref="A171:C171"/>
    <mergeCell ref="A172:C172"/>
    <mergeCell ref="A75:C75"/>
    <mergeCell ref="A76:C76"/>
    <mergeCell ref="A77:D77"/>
    <mergeCell ref="A78:C78"/>
    <mergeCell ref="A79:D79"/>
    <mergeCell ref="A80:D80"/>
    <mergeCell ref="A84:C84"/>
    <mergeCell ref="A173:C173"/>
    <mergeCell ref="A253:H253"/>
    <mergeCell ref="A183:D183"/>
    <mergeCell ref="A184:C184"/>
    <mergeCell ref="A185:E185"/>
    <mergeCell ref="A186:D186"/>
    <mergeCell ref="A252:H252"/>
    <mergeCell ref="A72:H72"/>
    <mergeCell ref="A81:G81"/>
    <mergeCell ref="A83:H83"/>
    <mergeCell ref="A93:G93"/>
    <mergeCell ref="A144:C144"/>
    <mergeCell ref="A145:D145"/>
    <mergeCell ref="A146:D146"/>
    <mergeCell ref="A147:D147"/>
    <mergeCell ref="A139:H139"/>
    <mergeCell ref="A137:G137"/>
    <mergeCell ref="A125:D125"/>
    <mergeCell ref="A129:D129"/>
    <mergeCell ref="A130:D130"/>
    <mergeCell ref="A131:C131"/>
    <mergeCell ref="A132:C132"/>
    <mergeCell ref="A133:D133"/>
    <mergeCell ref="A134:D134"/>
    <mergeCell ref="A135:D135"/>
    <mergeCell ref="A254:H254"/>
    <mergeCell ref="A326:D326"/>
    <mergeCell ref="A327:D327"/>
    <mergeCell ref="A328:D328"/>
    <mergeCell ref="A260:G260"/>
    <mergeCell ref="C317:H317"/>
    <mergeCell ref="B397:D397"/>
    <mergeCell ref="A262:H262"/>
    <mergeCell ref="A271:G271"/>
    <mergeCell ref="A273:H273"/>
    <mergeCell ref="A288:G288"/>
    <mergeCell ref="A339:G339"/>
    <mergeCell ref="A335:D335"/>
    <mergeCell ref="A315:G315"/>
    <mergeCell ref="A323:H323"/>
    <mergeCell ref="A324:H324"/>
    <mergeCell ref="A332:D332"/>
    <mergeCell ref="A333:D333"/>
    <mergeCell ref="A334:D334"/>
    <mergeCell ref="A321:G321"/>
    <mergeCell ref="B343:D343"/>
    <mergeCell ref="B344:D344"/>
    <mergeCell ref="B345:E345"/>
    <mergeCell ref="A266:D266"/>
    <mergeCell ref="A419:D419"/>
    <mergeCell ref="A360:H360"/>
    <mergeCell ref="A367:G367"/>
    <mergeCell ref="A427:E427"/>
    <mergeCell ref="A425:H425"/>
    <mergeCell ref="A417:G417"/>
    <mergeCell ref="A426:B426"/>
    <mergeCell ref="A404:G404"/>
    <mergeCell ref="A406:H406"/>
    <mergeCell ref="B398:D398"/>
    <mergeCell ref="B409:D409"/>
    <mergeCell ref="B410:D410"/>
    <mergeCell ref="B411:D411"/>
    <mergeCell ref="B489:G489"/>
    <mergeCell ref="A490:G490"/>
    <mergeCell ref="A480:D480"/>
    <mergeCell ref="A481:D481"/>
    <mergeCell ref="A482:D482"/>
    <mergeCell ref="A483:G483"/>
    <mergeCell ref="A484:G484"/>
    <mergeCell ref="B516:G516"/>
    <mergeCell ref="A492:H492"/>
    <mergeCell ref="B493:D493"/>
    <mergeCell ref="B494:D494"/>
    <mergeCell ref="B495:E495"/>
    <mergeCell ref="A496:G496"/>
    <mergeCell ref="A498:H498"/>
    <mergeCell ref="B515:D515"/>
    <mergeCell ref="A180:G180"/>
    <mergeCell ref="A182:H182"/>
    <mergeCell ref="A187:G187"/>
    <mergeCell ref="A189:G189"/>
    <mergeCell ref="A160:D160"/>
    <mergeCell ref="A161:D161"/>
    <mergeCell ref="A162:D162"/>
    <mergeCell ref="A198:H198"/>
    <mergeCell ref="A199:C199"/>
    <mergeCell ref="A174:C174"/>
    <mergeCell ref="A163:D163"/>
    <mergeCell ref="A148:D148"/>
    <mergeCell ref="A149:D149"/>
    <mergeCell ref="A150:D150"/>
    <mergeCell ref="A151:D151"/>
    <mergeCell ref="A155:D155"/>
    <mergeCell ref="A156:D156"/>
    <mergeCell ref="A157:D157"/>
    <mergeCell ref="A158:D158"/>
    <mergeCell ref="A159:D159"/>
    <mergeCell ref="A152:G152"/>
    <mergeCell ref="A154:H154"/>
    <mergeCell ref="A204:D204"/>
    <mergeCell ref="A205:D205"/>
    <mergeCell ref="A206:D206"/>
    <mergeCell ref="A207:D207"/>
    <mergeCell ref="A208:D208"/>
    <mergeCell ref="A209:G209"/>
    <mergeCell ref="A195:D195"/>
    <mergeCell ref="A196:G196"/>
    <mergeCell ref="A191:H191"/>
    <mergeCell ref="A192:D192"/>
    <mergeCell ref="A193:D193"/>
    <mergeCell ref="A194:D194"/>
    <mergeCell ref="A200:C200"/>
    <mergeCell ref="A201:C201"/>
    <mergeCell ref="A203:C203"/>
    <mergeCell ref="A223:G223"/>
    <mergeCell ref="A224:G224"/>
    <mergeCell ref="A220:D220"/>
    <mergeCell ref="A221:D221"/>
    <mergeCell ref="A222:D222"/>
    <mergeCell ref="A211:H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6:H226"/>
    <mergeCell ref="A227:D227"/>
    <mergeCell ref="A228:C228"/>
    <mergeCell ref="A229:E229"/>
    <mergeCell ref="A230:D230"/>
    <mergeCell ref="A231:G231"/>
    <mergeCell ref="A247:G247"/>
    <mergeCell ref="A374:D374"/>
    <mergeCell ref="A558:H558"/>
    <mergeCell ref="A520:D520"/>
    <mergeCell ref="A517:G517"/>
    <mergeCell ref="A466:G466"/>
    <mergeCell ref="A469:D469"/>
    <mergeCell ref="A233:H233"/>
    <mergeCell ref="C237:D237"/>
    <mergeCell ref="A245:G245"/>
    <mergeCell ref="A376:D376"/>
    <mergeCell ref="A384:D384"/>
    <mergeCell ref="A537:G537"/>
    <mergeCell ref="A521:D521"/>
    <mergeCell ref="A522:D522"/>
    <mergeCell ref="A306:G306"/>
    <mergeCell ref="A308:H308"/>
    <mergeCell ref="B488:D488"/>
    <mergeCell ref="A559:H559"/>
    <mergeCell ref="B560:C560"/>
    <mergeCell ref="B561:C561"/>
    <mergeCell ref="B562:C562"/>
    <mergeCell ref="B563:G563"/>
    <mergeCell ref="B564:G564"/>
    <mergeCell ref="A523:D523"/>
    <mergeCell ref="A539:H539"/>
    <mergeCell ref="A552:B552"/>
    <mergeCell ref="A553:E553"/>
    <mergeCell ref="A554:G554"/>
    <mergeCell ref="B544:E544"/>
    <mergeCell ref="A545:G545"/>
    <mergeCell ref="A524:D524"/>
    <mergeCell ref="A525:D525"/>
    <mergeCell ref="A526:D526"/>
    <mergeCell ref="A527:D527"/>
    <mergeCell ref="A528:D528"/>
    <mergeCell ref="A532:H532"/>
    <mergeCell ref="A533:D533"/>
    <mergeCell ref="A534:D534"/>
    <mergeCell ref="A535:D535"/>
    <mergeCell ref="A536:E536"/>
    <mergeCell ref="A529:D529"/>
    <mergeCell ref="A565:G565"/>
    <mergeCell ref="A567:H567"/>
    <mergeCell ref="A568:H568"/>
    <mergeCell ref="A569:D569"/>
    <mergeCell ref="A570:D570"/>
    <mergeCell ref="A571:D571"/>
    <mergeCell ref="A572:D572"/>
    <mergeCell ref="A573:D573"/>
    <mergeCell ref="A574:G574"/>
    <mergeCell ref="A575:G575"/>
    <mergeCell ref="A577:H577"/>
    <mergeCell ref="A578:H578"/>
    <mergeCell ref="B579:D579"/>
    <mergeCell ref="B580:D580"/>
    <mergeCell ref="B581:D581"/>
    <mergeCell ref="A582:H582"/>
    <mergeCell ref="B583:D583"/>
    <mergeCell ref="B584:D584"/>
    <mergeCell ref="B585:D585"/>
    <mergeCell ref="A586:D586"/>
    <mergeCell ref="A587:D587"/>
    <mergeCell ref="A588:D588"/>
    <mergeCell ref="A589:D589"/>
    <mergeCell ref="A590:D590"/>
    <mergeCell ref="A591:G591"/>
    <mergeCell ref="A592:G592"/>
    <mergeCell ref="A594:H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G609"/>
    <mergeCell ref="A610:G610"/>
    <mergeCell ref="A612:B612"/>
    <mergeCell ref="C612:H612"/>
    <mergeCell ref="B613:D613"/>
    <mergeCell ref="B614:D614"/>
    <mergeCell ref="B615:G615"/>
    <mergeCell ref="A616:G616"/>
    <mergeCell ref="A618:H618"/>
    <mergeCell ref="B619:D619"/>
    <mergeCell ref="B620:D620"/>
    <mergeCell ref="B621:E621"/>
    <mergeCell ref="A622:G622"/>
    <mergeCell ref="B637:D637"/>
    <mergeCell ref="B638:D638"/>
    <mergeCell ref="B639:D639"/>
    <mergeCell ref="B640:D640"/>
    <mergeCell ref="B641:D641"/>
    <mergeCell ref="B642:G642"/>
    <mergeCell ref="A643:G643"/>
    <mergeCell ref="A624:H624"/>
    <mergeCell ref="A625:H625"/>
    <mergeCell ref="B626:D626"/>
    <mergeCell ref="B627:D627"/>
    <mergeCell ref="B628:D628"/>
    <mergeCell ref="B629:D629"/>
    <mergeCell ref="B630:D630"/>
    <mergeCell ref="B634:D634"/>
    <mergeCell ref="A636:H636"/>
    <mergeCell ref="A650:H650"/>
    <mergeCell ref="C651:D651"/>
    <mergeCell ref="C652:D652"/>
    <mergeCell ref="B653:D653"/>
    <mergeCell ref="A645:H645"/>
    <mergeCell ref="A646:D646"/>
    <mergeCell ref="A647:E647"/>
    <mergeCell ref="A648:G648"/>
    <mergeCell ref="A667:G667"/>
    <mergeCell ref="B654:D654"/>
    <mergeCell ref="B655:E655"/>
    <mergeCell ref="A656:G656"/>
    <mergeCell ref="A658:D658"/>
    <mergeCell ref="A660:D660"/>
    <mergeCell ref="A662:H662"/>
    <mergeCell ref="A663:B663"/>
    <mergeCell ref="A664:E664"/>
    <mergeCell ref="A665:G665"/>
  </mergeCells>
  <pageMargins left="0.7" right="0.7" top="0.75" bottom="0.75" header="0.3" footer="0.3"/>
  <pageSetup scale="75" orientation="portrait" r:id="rId1"/>
  <rowBreaks count="7" manualBreakCount="7">
    <brk id="120" max="16383" man="1"/>
    <brk id="181" max="16383" man="1"/>
    <brk id="250" max="16383" man="1"/>
    <brk id="322" max="16383" man="1"/>
    <brk id="418" max="16383" man="1"/>
    <brk id="475" max="7" man="1"/>
    <brk id="53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RESIDENTIAL BUILDING</vt:lpstr>
      <vt:lpstr>'RESIDENTIAL BUILDING'!Print_Area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lameck charles</cp:lastModifiedBy>
  <cp:lastPrinted>2026-01-22T09:48:40Z</cp:lastPrinted>
  <dcterms:created xsi:type="dcterms:W3CDTF">2015-06-05T18:17:20Z</dcterms:created>
  <dcterms:modified xsi:type="dcterms:W3CDTF">2026-02-04T06:42:26Z</dcterms:modified>
</cp:coreProperties>
</file>