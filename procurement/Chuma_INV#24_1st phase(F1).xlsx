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lectrical Works\Wajenzi Engineering\Chuma_Africana\"/>
    </mc:Choice>
  </mc:AlternateContent>
  <bookViews>
    <workbookView xWindow="0" yWindow="0" windowWidth="19200" windowHeight="830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2" i="2" l="1"/>
  <c r="F18" i="2" l="1"/>
  <c r="F13" i="2" l="1"/>
  <c r="F14" i="2" l="1"/>
  <c r="F17" i="2"/>
  <c r="F19" i="2" l="1"/>
  <c r="F16" i="2" l="1"/>
  <c r="F15" i="2"/>
  <c r="F12" i="2"/>
  <c r="F11" i="2"/>
  <c r="F10" i="2"/>
  <c r="F9" i="2"/>
  <c r="F20" i="2" l="1"/>
</calcChain>
</file>

<file path=xl/sharedStrings.xml><?xml version="1.0" encoding="utf-8"?>
<sst xmlns="http://schemas.openxmlformats.org/spreadsheetml/2006/main" count="48" uniqueCount="39">
  <si>
    <t>PC</t>
  </si>
  <si>
    <t>TOTAL</t>
  </si>
  <si>
    <t>PRICE/UNIT</t>
  </si>
  <si>
    <t>UNIT</t>
  </si>
  <si>
    <t>ITEM</t>
  </si>
  <si>
    <t>SN</t>
  </si>
  <si>
    <t>DAR ES SALAAM TANZANIA</t>
  </si>
  <si>
    <t>MOBILE: (+255)658 913 993</t>
  </si>
  <si>
    <t>ENG. EMMANUEL MASOME</t>
  </si>
  <si>
    <t>Round box PVC(3/4", class D, white, 4ways)</t>
  </si>
  <si>
    <t>CLIENT DETAILS</t>
  </si>
  <si>
    <t>QTY</t>
  </si>
  <si>
    <t xml:space="preserve"> ESTIMATED MATERIAL TOTAL</t>
  </si>
  <si>
    <t>BANK DETAILS</t>
  </si>
  <si>
    <t>BANK NAME:CRDB BANK</t>
  </si>
  <si>
    <t>ACC NAME: EMMANUEL JAMES MASOME</t>
  </si>
  <si>
    <t>ACC NO: 0152467001800</t>
  </si>
  <si>
    <t>INV. PREPARED BY:</t>
  </si>
  <si>
    <t>INV. NO</t>
  </si>
  <si>
    <t>WAJENZI PROFESSIONAL CO.</t>
  </si>
  <si>
    <t>DATE OF ISSUE</t>
  </si>
  <si>
    <t>EXPIRY</t>
  </si>
  <si>
    <t>MOBILE: 0719 109 222</t>
  </si>
  <si>
    <t>P.O.BOX…….DAR ES SALAAM</t>
  </si>
  <si>
    <t>Magazeti</t>
  </si>
  <si>
    <t>Kg</t>
  </si>
  <si>
    <t xml:space="preserve">Binding wire </t>
  </si>
  <si>
    <t>Deep depth Round box PVC(1", class D,white, 4ways)</t>
  </si>
  <si>
    <t>PVC conduits pipe(1.5'' , class D white)</t>
  </si>
  <si>
    <t>Nails, 2.5"</t>
  </si>
  <si>
    <t>LABOUR CHARGE</t>
  </si>
  <si>
    <t>WP/00024</t>
  </si>
  <si>
    <t>FIRST PHASE: MATERIALS ESTIMATION AND LABOUR CHARGE FOR CONDUITS AND ROUND BOXES LAYOUT ON FIRST  FLOOR SLAB FOR  ELECTRICAL AND ICT INSTALLATION</t>
  </si>
  <si>
    <t>Tangent Glue(0.5Lts)</t>
  </si>
  <si>
    <t>GRAND TOTAL</t>
  </si>
  <si>
    <t>PVC Conduits pipe( 3/4'', class D, white)AFRICAB</t>
  </si>
  <si>
    <t>PVC Conduits pipe ( 1'', class D, white)AFRICAB</t>
  </si>
  <si>
    <t>Straight PVC Connector(3/4'', class D, white)AFRICAB</t>
  </si>
  <si>
    <t>Straight PVC Connector(1'', class D,white)AFRICAB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</si>
</sst>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-* #,##0_-;\-* #,##0_-;_-* &quot;-&quot;??_-;_-@_-"/>
    <numFmt numFmtId="165" formatCode="_([$€-2]\ * #,##0.00_);_([$€-2]\ * \(#,##0.00\);_([$€-2]\ 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b/>
      <u/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44">
    <xf numFmtId="0" fontId="0" fillId="0" borderId="0" xfId="0"/>
    <xf numFmtId="0" fontId="1" fillId="0" borderId="0" xfId="2"/>
    <xf numFmtId="0" fontId="2" fillId="0" borderId="0" xfId="2" applyFont="1" applyAlignment="1"/>
    <xf numFmtId="164" fontId="4" fillId="2" borderId="1" xfId="2" applyNumberFormat="1" applyFont="1" applyFill="1" applyBorder="1"/>
    <xf numFmtId="164" fontId="5" fillId="0" borderId="1" xfId="2" applyNumberFormat="1" applyFont="1" applyBorder="1"/>
    <xf numFmtId="164" fontId="5" fillId="0" borderId="1" xfId="1" applyNumberFormat="1" applyFont="1" applyBorder="1"/>
    <xf numFmtId="0" fontId="5" fillId="0" borderId="1" xfId="2" applyFont="1" applyBorder="1" applyAlignment="1">
      <alignment horizontal="center" vertical="center"/>
    </xf>
    <xf numFmtId="0" fontId="5" fillId="0" borderId="1" xfId="2" applyFont="1" applyBorder="1" applyAlignment="1">
      <alignment horizontal="left" vertical="center"/>
    </xf>
    <xf numFmtId="0" fontId="5" fillId="0" borderId="1" xfId="2" applyFont="1" applyBorder="1" applyAlignment="1">
      <alignment vertical="center"/>
    </xf>
    <xf numFmtId="0" fontId="6" fillId="3" borderId="1" xfId="2" applyFont="1" applyFill="1" applyBorder="1" applyAlignment="1">
      <alignment horizontal="center"/>
    </xf>
    <xf numFmtId="0" fontId="6" fillId="3" borderId="1" xfId="2" applyFont="1" applyFill="1" applyBorder="1"/>
    <xf numFmtId="0" fontId="6" fillId="3" borderId="1" xfId="2" applyFont="1" applyFill="1" applyBorder="1" applyAlignment="1">
      <alignment horizontal="center" wrapText="1"/>
    </xf>
    <xf numFmtId="165" fontId="6" fillId="3" borderId="1" xfId="2" applyNumberFormat="1" applyFont="1" applyFill="1" applyBorder="1" applyAlignment="1">
      <alignment horizontal="center"/>
    </xf>
    <xf numFmtId="0" fontId="7" fillId="0" borderId="0" xfId="0" applyFont="1"/>
    <xf numFmtId="0" fontId="5" fillId="0" borderId="0" xfId="0" applyFont="1"/>
    <xf numFmtId="0" fontId="5" fillId="0" borderId="1" xfId="2" applyFont="1" applyBorder="1" applyAlignment="1"/>
    <xf numFmtId="0" fontId="2" fillId="0" borderId="1" xfId="2" applyFont="1" applyBorder="1" applyAlignment="1"/>
    <xf numFmtId="0" fontId="8" fillId="0" borderId="1" xfId="2" applyFont="1" applyBorder="1" applyAlignment="1"/>
    <xf numFmtId="14" fontId="2" fillId="0" borderId="1" xfId="2" applyNumberFormat="1" applyFont="1" applyBorder="1" applyAlignment="1"/>
    <xf numFmtId="0" fontId="2" fillId="0" borderId="4" xfId="2" applyFont="1" applyBorder="1" applyAlignment="1">
      <alignment horizontal="center"/>
    </xf>
    <xf numFmtId="0" fontId="5" fillId="0" borderId="2" xfId="2" applyFont="1" applyBorder="1" applyAlignment="1"/>
    <xf numFmtId="0" fontId="5" fillId="0" borderId="3" xfId="2" applyFont="1" applyBorder="1" applyAlignment="1"/>
    <xf numFmtId="0" fontId="8" fillId="0" borderId="3" xfId="2" applyFont="1" applyBorder="1" applyAlignment="1"/>
    <xf numFmtId="14" fontId="2" fillId="0" borderId="3" xfId="2" applyNumberFormat="1" applyFont="1" applyBorder="1" applyAlignment="1"/>
    <xf numFmtId="0" fontId="2" fillId="0" borderId="3" xfId="2" applyFont="1" applyBorder="1" applyAlignment="1">
      <alignment horizontal="center"/>
    </xf>
    <xf numFmtId="0" fontId="9" fillId="0" borderId="1" xfId="2" applyFont="1" applyBorder="1" applyAlignment="1">
      <alignment horizontal="right"/>
    </xf>
    <xf numFmtId="0" fontId="3" fillId="2" borderId="2" xfId="2" applyFont="1" applyFill="1" applyBorder="1" applyAlignment="1">
      <alignment horizontal="right" wrapText="1"/>
    </xf>
    <xf numFmtId="0" fontId="3" fillId="2" borderId="3" xfId="2" applyFont="1" applyFill="1" applyBorder="1" applyAlignment="1">
      <alignment horizontal="right" wrapText="1"/>
    </xf>
    <xf numFmtId="0" fontId="3" fillId="2" borderId="4" xfId="2" applyFont="1" applyFill="1" applyBorder="1" applyAlignment="1">
      <alignment horizontal="right" wrapText="1"/>
    </xf>
    <xf numFmtId="0" fontId="3" fillId="2" borderId="1" xfId="2" applyFont="1" applyFill="1" applyBorder="1" applyAlignment="1">
      <alignment horizontal="right" wrapText="1"/>
    </xf>
    <xf numFmtId="0" fontId="3" fillId="4" borderId="2" xfId="2" applyFont="1" applyFill="1" applyBorder="1" applyAlignment="1">
      <alignment horizontal="center" vertical="center" wrapText="1"/>
    </xf>
    <xf numFmtId="0" fontId="3" fillId="4" borderId="3" xfId="2" applyFont="1" applyFill="1" applyBorder="1" applyAlignment="1">
      <alignment horizontal="center" vertical="center" wrapText="1"/>
    </xf>
    <xf numFmtId="0" fontId="3" fillId="4" borderId="4" xfId="2" applyFont="1" applyFill="1" applyBorder="1" applyAlignment="1">
      <alignment horizontal="center" vertical="center" wrapText="1"/>
    </xf>
    <xf numFmtId="0" fontId="3" fillId="0" borderId="2" xfId="2" applyFont="1" applyBorder="1" applyAlignment="1">
      <alignment horizontal="left" vertical="top"/>
    </xf>
    <xf numFmtId="0" fontId="3" fillId="0" borderId="3" xfId="2" applyFont="1" applyBorder="1" applyAlignment="1">
      <alignment horizontal="left" vertical="top"/>
    </xf>
    <xf numFmtId="0" fontId="3" fillId="0" borderId="4" xfId="2" applyFont="1" applyBorder="1" applyAlignment="1">
      <alignment horizontal="left" vertical="top"/>
    </xf>
    <xf numFmtId="0" fontId="3" fillId="0" borderId="2" xfId="2" applyFont="1" applyFill="1" applyBorder="1" applyAlignment="1">
      <alignment horizontal="center" vertical="top"/>
    </xf>
    <xf numFmtId="0" fontId="3" fillId="0" borderId="4" xfId="2" applyFont="1" applyFill="1" applyBorder="1" applyAlignment="1">
      <alignment horizontal="center" vertical="top"/>
    </xf>
    <xf numFmtId="0" fontId="2" fillId="0" borderId="2" xfId="2" applyFont="1" applyBorder="1" applyAlignment="1">
      <alignment horizontal="center"/>
    </xf>
    <xf numFmtId="0" fontId="2" fillId="0" borderId="4" xfId="2" applyFont="1" applyBorder="1" applyAlignment="1">
      <alignment horizontal="center"/>
    </xf>
    <xf numFmtId="164" fontId="4" fillId="5" borderId="1" xfId="2" applyNumberFormat="1" applyFont="1" applyFill="1" applyBorder="1" applyAlignment="1"/>
    <xf numFmtId="0" fontId="9" fillId="5" borderId="1" xfId="2" applyFont="1" applyFill="1" applyBorder="1" applyAlignment="1">
      <alignment horizontal="right"/>
    </xf>
    <xf numFmtId="0" fontId="2" fillId="5" borderId="1" xfId="2" applyFont="1" applyFill="1" applyBorder="1" applyAlignment="1">
      <alignment horizontal="right"/>
    </xf>
    <xf numFmtId="0" fontId="2" fillId="5" borderId="1" xfId="2" applyFont="1" applyFill="1" applyBorder="1" applyAlignment="1"/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"/>
  <sheetViews>
    <sheetView tabSelected="1" topLeftCell="A5" workbookViewId="0">
      <selection activeCell="B5" sqref="B1:B1048576"/>
    </sheetView>
  </sheetViews>
  <sheetFormatPr defaultRowHeight="14.5" x14ac:dyDescent="0.35"/>
  <cols>
    <col min="1" max="1" width="7.26953125" customWidth="1"/>
    <col min="2" max="2" width="50.54296875" customWidth="1"/>
    <col min="3" max="3" width="18.1796875" customWidth="1"/>
    <col min="4" max="4" width="10.1796875" customWidth="1"/>
    <col min="5" max="5" width="13.7265625" customWidth="1"/>
    <col min="6" max="6" width="18.453125" customWidth="1"/>
  </cols>
  <sheetData>
    <row r="1" spans="1:7" ht="22.5" customHeight="1" x14ac:dyDescent="0.35"/>
    <row r="2" spans="1:7" ht="15" x14ac:dyDescent="0.35">
      <c r="A2" s="33" t="s">
        <v>17</v>
      </c>
      <c r="B2" s="34"/>
      <c r="C2" s="34"/>
      <c r="D2" s="35"/>
      <c r="E2" s="36" t="s">
        <v>10</v>
      </c>
      <c r="F2" s="37"/>
    </row>
    <row r="3" spans="1:7" ht="15.5" x14ac:dyDescent="0.35">
      <c r="A3" s="15" t="s">
        <v>8</v>
      </c>
      <c r="B3" s="15"/>
      <c r="C3" s="16" t="s">
        <v>18</v>
      </c>
      <c r="D3" s="25" t="s">
        <v>31</v>
      </c>
      <c r="E3" s="38" t="s">
        <v>19</v>
      </c>
      <c r="F3" s="39"/>
    </row>
    <row r="4" spans="1:7" ht="15.5" x14ac:dyDescent="0.35">
      <c r="A4" s="15" t="s">
        <v>7</v>
      </c>
      <c r="B4" s="15"/>
      <c r="C4" s="17" t="s">
        <v>20</v>
      </c>
      <c r="D4" s="18">
        <v>45983</v>
      </c>
      <c r="E4" s="38" t="s">
        <v>23</v>
      </c>
      <c r="F4" s="39"/>
    </row>
    <row r="5" spans="1:7" ht="15.5" x14ac:dyDescent="0.35">
      <c r="A5" s="15" t="s">
        <v>6</v>
      </c>
      <c r="B5" s="15"/>
      <c r="C5" s="17" t="s">
        <v>21</v>
      </c>
      <c r="D5" s="18">
        <v>46013</v>
      </c>
      <c r="E5" s="38" t="s">
        <v>22</v>
      </c>
      <c r="F5" s="39"/>
    </row>
    <row r="6" spans="1:7" ht="15.5" x14ac:dyDescent="0.35">
      <c r="A6" s="20"/>
      <c r="B6" s="21"/>
      <c r="C6" s="22"/>
      <c r="D6" s="23"/>
      <c r="E6" s="24"/>
      <c r="F6" s="19"/>
    </row>
    <row r="7" spans="1:7" ht="32" customHeight="1" x14ac:dyDescent="0.35">
      <c r="A7" s="30" t="s">
        <v>32</v>
      </c>
      <c r="B7" s="31"/>
      <c r="C7" s="31"/>
      <c r="D7" s="31"/>
      <c r="E7" s="31"/>
      <c r="F7" s="32"/>
    </row>
    <row r="8" spans="1:7" ht="19" customHeight="1" x14ac:dyDescent="0.35">
      <c r="A8" s="10" t="s">
        <v>5</v>
      </c>
      <c r="B8" s="9" t="s">
        <v>4</v>
      </c>
      <c r="C8" s="11" t="s">
        <v>11</v>
      </c>
      <c r="D8" s="9" t="s">
        <v>3</v>
      </c>
      <c r="E8" s="9" t="s">
        <v>2</v>
      </c>
      <c r="F8" s="12" t="s">
        <v>1</v>
      </c>
    </row>
    <row r="9" spans="1:7" ht="15.5" x14ac:dyDescent="0.35">
      <c r="A9" s="8">
        <v>1</v>
      </c>
      <c r="B9" s="7" t="s">
        <v>35</v>
      </c>
      <c r="C9" s="6">
        <v>400</v>
      </c>
      <c r="D9" s="6" t="s">
        <v>0</v>
      </c>
      <c r="E9" s="5">
        <v>2500</v>
      </c>
      <c r="F9" s="4">
        <f t="shared" ref="F9:F19" si="0">C9*E9</f>
        <v>1000000</v>
      </c>
    </row>
    <row r="10" spans="1:7" ht="15.5" x14ac:dyDescent="0.35">
      <c r="A10" s="8">
        <v>2</v>
      </c>
      <c r="B10" s="7" t="s">
        <v>36</v>
      </c>
      <c r="C10" s="6">
        <v>100</v>
      </c>
      <c r="D10" s="6" t="s">
        <v>0</v>
      </c>
      <c r="E10" s="5">
        <v>3500</v>
      </c>
      <c r="F10" s="4">
        <f t="shared" si="0"/>
        <v>350000</v>
      </c>
    </row>
    <row r="11" spans="1:7" ht="15.5" x14ac:dyDescent="0.35">
      <c r="A11" s="8">
        <v>3</v>
      </c>
      <c r="B11" s="7" t="s">
        <v>37</v>
      </c>
      <c r="C11" s="6">
        <v>500</v>
      </c>
      <c r="D11" s="6" t="s">
        <v>0</v>
      </c>
      <c r="E11" s="5">
        <v>500</v>
      </c>
      <c r="F11" s="4">
        <f t="shared" si="0"/>
        <v>250000</v>
      </c>
    </row>
    <row r="12" spans="1:7" ht="15.5" x14ac:dyDescent="0.35">
      <c r="A12" s="8">
        <v>4</v>
      </c>
      <c r="B12" s="7" t="s">
        <v>38</v>
      </c>
      <c r="C12" s="6">
        <v>100</v>
      </c>
      <c r="D12" s="6" t="s">
        <v>0</v>
      </c>
      <c r="E12" s="5">
        <v>700</v>
      </c>
      <c r="F12" s="4">
        <f t="shared" si="0"/>
        <v>70000</v>
      </c>
    </row>
    <row r="13" spans="1:7" ht="15.5" x14ac:dyDescent="0.35">
      <c r="A13" s="8">
        <v>5</v>
      </c>
      <c r="B13" s="7" t="s">
        <v>28</v>
      </c>
      <c r="C13" s="6">
        <v>2</v>
      </c>
      <c r="D13" s="6" t="s">
        <v>0</v>
      </c>
      <c r="E13" s="5">
        <v>3500</v>
      </c>
      <c r="F13" s="4">
        <f t="shared" si="0"/>
        <v>7000</v>
      </c>
    </row>
    <row r="14" spans="1:7" ht="15.5" x14ac:dyDescent="0.35">
      <c r="A14" s="8">
        <v>6</v>
      </c>
      <c r="B14" s="7" t="s">
        <v>9</v>
      </c>
      <c r="C14" s="6">
        <v>300</v>
      </c>
      <c r="D14" s="6" t="s">
        <v>0</v>
      </c>
      <c r="E14" s="5">
        <v>900</v>
      </c>
      <c r="F14" s="4">
        <f t="shared" si="0"/>
        <v>270000</v>
      </c>
    </row>
    <row r="15" spans="1:7" ht="15.5" x14ac:dyDescent="0.35">
      <c r="A15" s="8">
        <v>7</v>
      </c>
      <c r="B15" s="7" t="s">
        <v>27</v>
      </c>
      <c r="C15" s="6">
        <v>10</v>
      </c>
      <c r="D15" s="6" t="s">
        <v>0</v>
      </c>
      <c r="E15" s="5">
        <v>2000</v>
      </c>
      <c r="F15" s="4">
        <f t="shared" si="0"/>
        <v>20000</v>
      </c>
    </row>
    <row r="16" spans="1:7" ht="15.5" x14ac:dyDescent="0.35">
      <c r="A16" s="8">
        <v>8</v>
      </c>
      <c r="B16" s="7" t="s">
        <v>33</v>
      </c>
      <c r="C16" s="6">
        <v>8</v>
      </c>
      <c r="D16" s="6" t="s">
        <v>0</v>
      </c>
      <c r="E16" s="5">
        <v>5000</v>
      </c>
      <c r="F16" s="4">
        <f t="shared" si="0"/>
        <v>40000</v>
      </c>
      <c r="G16" s="1"/>
    </row>
    <row r="17" spans="1:17" ht="15.5" x14ac:dyDescent="0.35">
      <c r="A17" s="8">
        <v>9</v>
      </c>
      <c r="B17" s="7" t="s">
        <v>26</v>
      </c>
      <c r="C17" s="6">
        <v>2</v>
      </c>
      <c r="D17" s="6" t="s">
        <v>25</v>
      </c>
      <c r="E17" s="5">
        <v>40000</v>
      </c>
      <c r="F17" s="4">
        <f t="shared" si="0"/>
        <v>80000</v>
      </c>
      <c r="G17" s="1"/>
    </row>
    <row r="18" spans="1:17" ht="15.5" x14ac:dyDescent="0.35">
      <c r="A18" s="8">
        <v>10</v>
      </c>
      <c r="B18" s="7" t="s">
        <v>29</v>
      </c>
      <c r="C18" s="6">
        <v>2</v>
      </c>
      <c r="D18" s="6" t="s">
        <v>25</v>
      </c>
      <c r="E18" s="5">
        <v>5000</v>
      </c>
      <c r="F18" s="4">
        <f t="shared" si="0"/>
        <v>10000</v>
      </c>
      <c r="G18" s="1"/>
    </row>
    <row r="19" spans="1:17" ht="15.5" x14ac:dyDescent="0.35">
      <c r="A19" s="8">
        <v>11</v>
      </c>
      <c r="B19" s="7" t="s">
        <v>24</v>
      </c>
      <c r="C19" s="6">
        <v>1</v>
      </c>
      <c r="D19" s="6" t="s">
        <v>25</v>
      </c>
      <c r="E19" s="5">
        <v>10000</v>
      </c>
      <c r="F19" s="4">
        <f t="shared" si="0"/>
        <v>10000</v>
      </c>
      <c r="G19" s="1"/>
    </row>
    <row r="20" spans="1:17" ht="24.5" customHeight="1" x14ac:dyDescent="0.35">
      <c r="A20" s="29" t="s">
        <v>12</v>
      </c>
      <c r="B20" s="29"/>
      <c r="C20" s="29"/>
      <c r="D20" s="29"/>
      <c r="E20" s="29"/>
      <c r="F20" s="3">
        <f>SUM(F9:F19)</f>
        <v>2107000</v>
      </c>
      <c r="G20" s="1"/>
    </row>
    <row r="21" spans="1:17" ht="17.5" customHeight="1" x14ac:dyDescent="0.35">
      <c r="A21" s="26" t="s">
        <v>30</v>
      </c>
      <c r="B21" s="27"/>
      <c r="C21" s="27"/>
      <c r="D21" s="27"/>
      <c r="E21" s="28"/>
      <c r="F21" s="3">
        <v>1440000</v>
      </c>
      <c r="G21" s="1"/>
    </row>
    <row r="22" spans="1:17" ht="24" customHeight="1" x14ac:dyDescent="0.35">
      <c r="A22" s="43"/>
      <c r="B22" s="41" t="s">
        <v>34</v>
      </c>
      <c r="C22" s="42"/>
      <c r="D22" s="42"/>
      <c r="E22" s="42"/>
      <c r="F22" s="40">
        <f>F20+F21</f>
        <v>3547000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ht="15.5" x14ac:dyDescent="0.35">
      <c r="B23" s="13" t="s">
        <v>13</v>
      </c>
    </row>
    <row r="24" spans="1:17" ht="15.5" x14ac:dyDescent="0.35">
      <c r="B24" s="14" t="s">
        <v>14</v>
      </c>
    </row>
    <row r="25" spans="1:17" ht="15.5" x14ac:dyDescent="0.35">
      <c r="B25" s="14" t="s">
        <v>15</v>
      </c>
    </row>
    <row r="26" spans="1:17" ht="15.5" x14ac:dyDescent="0.35">
      <c r="B26" s="14" t="s">
        <v>16</v>
      </c>
    </row>
  </sheetData>
  <mergeCells count="9">
    <mergeCell ref="B22:E22"/>
    <mergeCell ref="A21:E21"/>
    <mergeCell ref="A20:E20"/>
    <mergeCell ref="A7:F7"/>
    <mergeCell ref="A2:D2"/>
    <mergeCell ref="E2:F2"/>
    <mergeCell ref="E3:F3"/>
    <mergeCell ref="E4:F4"/>
    <mergeCell ref="E5:F5"/>
  </mergeCells>
  <pageMargins left="0.7" right="0.7" top="0.75" bottom="0.75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2025-01-11T10:16:40Z</cp:lastPrinted>
  <dcterms:created xsi:type="dcterms:W3CDTF">2023-01-05T16:49:19Z</dcterms:created>
  <dcterms:modified xsi:type="dcterms:W3CDTF">2025-11-22T19:47:56Z</dcterms:modified>
  <cp:contentStatus/>
</cp:coreProperties>
</file>